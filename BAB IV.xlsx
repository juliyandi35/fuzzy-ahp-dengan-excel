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JULI YANDI RAHMAN\Downloads\Kerjaan\Selesai\Fuzzy AHP dengan Excel\"/>
    </mc:Choice>
  </mc:AlternateContent>
  <xr:revisionPtr revIDLastSave="0" documentId="13_ncr:1_{C0D32CDC-3D0A-4E7E-A06E-4FDA0F18461E}" xr6:coauthVersionLast="47" xr6:coauthVersionMax="47" xr10:uidLastSave="{00000000-0000-0000-0000-000000000000}"/>
  <bookViews>
    <workbookView xWindow="-90" yWindow="0" windowWidth="9780" windowHeight="10170" activeTab="9" xr2:uid="{F7FD3133-C6B7-42FC-9F00-BE289769D0D7}"/>
  </bookViews>
  <sheets>
    <sheet name="TABEL PERBANDINGAN" sheetId="3" r:id="rId1"/>
    <sheet name="ISM" sheetId="1" r:id="rId2"/>
    <sheet name="FAHP Skenario" sheetId="2" r:id="rId3"/>
    <sheet name="Tujuan strategi" sheetId="4" r:id="rId4"/>
    <sheet name="Max volume" sheetId="5" r:id="rId5"/>
    <sheet name="Hadapi pesaing" sheetId="6" r:id="rId6"/>
    <sheet name="Pangsa Pasar" sheetId="7" r:id="rId7"/>
    <sheet name="Tingkatkan profit" sheetId="8" r:id="rId8"/>
    <sheet name="Kepuasan Pelanggan" sheetId="9" r:id="rId9"/>
    <sheet name="Sub aksi" sheetId="10" r:id="rId10"/>
  </sheets>
  <definedNames>
    <definedName name="_Hlk148602342" localSheetId="2">'FAHP Skenario'!$C$11</definedName>
    <definedName name="_Hlk148602387" localSheetId="2">'FAHP Skenario'!$C$12</definedName>
    <definedName name="_Hlk148602523" localSheetId="2">'FAHP Skenario'!$C$14</definedName>
    <definedName name="_Hlk148602577" localSheetId="2">'FAHP Skenario'!$C$15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5" i="10" l="1"/>
  <c r="Q48" i="10"/>
  <c r="R48" i="10"/>
  <c r="S48" i="10"/>
  <c r="R47" i="10"/>
  <c r="S47" i="10"/>
  <c r="Q47" i="10"/>
  <c r="Q41" i="10"/>
  <c r="R41" i="10"/>
  <c r="S41" i="10"/>
  <c r="R40" i="10"/>
  <c r="S40" i="10"/>
  <c r="Q40" i="10"/>
  <c r="Q34" i="10"/>
  <c r="R34" i="10"/>
  <c r="S34" i="10"/>
  <c r="R33" i="10"/>
  <c r="S33" i="10"/>
  <c r="Q33" i="10"/>
  <c r="Q27" i="10"/>
  <c r="R27" i="10"/>
  <c r="S27" i="10"/>
  <c r="R26" i="10"/>
  <c r="S26" i="10"/>
  <c r="Q26" i="10"/>
  <c r="Q28" i="10" s="1"/>
  <c r="Q29" i="10" s="1"/>
  <c r="R19" i="10"/>
  <c r="S19" i="10"/>
  <c r="Q19" i="10"/>
  <c r="Q13" i="10"/>
  <c r="R13" i="10"/>
  <c r="S13" i="10"/>
  <c r="S12" i="10"/>
  <c r="R12" i="10"/>
  <c r="Q12" i="10"/>
  <c r="S14" i="10"/>
  <c r="S15" i="10" s="1"/>
  <c r="P48" i="10"/>
  <c r="U48" i="10" s="1"/>
  <c r="P47" i="10"/>
  <c r="U47" i="10" s="1"/>
  <c r="P41" i="10"/>
  <c r="P40" i="10"/>
  <c r="P34" i="10"/>
  <c r="U34" i="10" s="1"/>
  <c r="P33" i="10"/>
  <c r="P26" i="10"/>
  <c r="P19" i="10"/>
  <c r="U19" i="10" s="1"/>
  <c r="P27" i="10"/>
  <c r="U27" i="10" s="1"/>
  <c r="P20" i="10"/>
  <c r="U20" i="10" s="1"/>
  <c r="P13" i="10"/>
  <c r="U13" i="10" s="1"/>
  <c r="P12" i="10"/>
  <c r="U12" i="10" s="1"/>
  <c r="P5" i="10"/>
  <c r="U41" i="10"/>
  <c r="S42" i="10"/>
  <c r="S43" i="10" s="1"/>
  <c r="R42" i="10"/>
  <c r="R43" i="10" s="1"/>
  <c r="U40" i="10"/>
  <c r="U33" i="10"/>
  <c r="U26" i="10"/>
  <c r="U5" i="10"/>
  <c r="P6" i="10"/>
  <c r="U6" i="10" s="1"/>
  <c r="N24" i="5"/>
  <c r="M24" i="5"/>
  <c r="L24" i="5"/>
  <c r="K24" i="5"/>
  <c r="J24" i="5"/>
  <c r="I24" i="5"/>
  <c r="S6" i="10"/>
  <c r="Q6" i="10"/>
  <c r="R6" i="10"/>
  <c r="R7" i="10" s="1"/>
  <c r="R8" i="10" s="1"/>
  <c r="S5" i="10"/>
  <c r="R5" i="10"/>
  <c r="Q5" i="10"/>
  <c r="B24" i="5"/>
  <c r="J22" i="10"/>
  <c r="K22" i="10"/>
  <c r="J14" i="10"/>
  <c r="R20" i="10" s="1"/>
  <c r="K14" i="10"/>
  <c r="S20" i="10" s="1"/>
  <c r="I22" i="10"/>
  <c r="I14" i="10"/>
  <c r="Q20" i="10" s="1"/>
  <c r="E14" i="10"/>
  <c r="E22" i="10"/>
  <c r="V18" i="9"/>
  <c r="S19" i="9" s="1"/>
  <c r="U18" i="9"/>
  <c r="T18" i="9"/>
  <c r="Q19" i="9" s="1"/>
  <c r="V17" i="9"/>
  <c r="U17" i="9"/>
  <c r="T17" i="9"/>
  <c r="S14" i="9"/>
  <c r="R14" i="9"/>
  <c r="F18" i="9" s="1"/>
  <c r="Q14" i="9"/>
  <c r="S15" i="8"/>
  <c r="R15" i="8"/>
  <c r="Q15" i="8"/>
  <c r="M14" i="8"/>
  <c r="G16" i="8" s="1"/>
  <c r="L14" i="8"/>
  <c r="F16" i="8" s="1"/>
  <c r="K14" i="8"/>
  <c r="M13" i="8"/>
  <c r="L13" i="8"/>
  <c r="K13" i="8"/>
  <c r="J13" i="8"/>
  <c r="I13" i="8"/>
  <c r="C15" i="8" s="1"/>
  <c r="H13" i="8"/>
  <c r="S15" i="7"/>
  <c r="R15" i="7"/>
  <c r="I18" i="7" s="1"/>
  <c r="Q15" i="7"/>
  <c r="V14" i="7"/>
  <c r="U14" i="7"/>
  <c r="T14" i="7"/>
  <c r="M14" i="7"/>
  <c r="L14" i="7"/>
  <c r="K14" i="7"/>
  <c r="V13" i="7"/>
  <c r="U13" i="7"/>
  <c r="T13" i="7"/>
  <c r="S13" i="7"/>
  <c r="D18" i="7" s="1"/>
  <c r="R13" i="7"/>
  <c r="Q13" i="7"/>
  <c r="B18" i="7" s="1"/>
  <c r="I24" i="6"/>
  <c r="V17" i="6"/>
  <c r="U17" i="6"/>
  <c r="T17" i="6"/>
  <c r="N19" i="6" s="1"/>
  <c r="V14" i="6"/>
  <c r="U14" i="6"/>
  <c r="T14" i="6"/>
  <c r="S14" i="6"/>
  <c r="R14" i="6"/>
  <c r="Q14" i="6"/>
  <c r="M14" i="6"/>
  <c r="L14" i="6"/>
  <c r="F16" i="6" s="1"/>
  <c r="K14" i="6"/>
  <c r="E16" i="6" s="1"/>
  <c r="R19" i="9"/>
  <c r="O19" i="9"/>
  <c r="M19" i="9"/>
  <c r="L19" i="9"/>
  <c r="K19" i="9"/>
  <c r="G19" i="9"/>
  <c r="F19" i="9"/>
  <c r="E19" i="9"/>
  <c r="D19" i="9"/>
  <c r="C19" i="9"/>
  <c r="B19" i="9"/>
  <c r="P18" i="9"/>
  <c r="O18" i="9"/>
  <c r="N18" i="9"/>
  <c r="M18" i="9"/>
  <c r="L18" i="9"/>
  <c r="K18" i="9"/>
  <c r="J18" i="9"/>
  <c r="I18" i="9"/>
  <c r="H18" i="9"/>
  <c r="G18" i="9"/>
  <c r="E18" i="9"/>
  <c r="D18" i="9"/>
  <c r="C18" i="9"/>
  <c r="B18" i="9"/>
  <c r="P19" i="9"/>
  <c r="N19" i="9"/>
  <c r="M17" i="9"/>
  <c r="L17" i="9"/>
  <c r="K17" i="9"/>
  <c r="G17" i="9"/>
  <c r="F17" i="9"/>
  <c r="E17" i="9"/>
  <c r="D17" i="9"/>
  <c r="D28" i="9" s="1"/>
  <c r="C17" i="9"/>
  <c r="B17" i="9"/>
  <c r="F16" i="9"/>
  <c r="J19" i="9"/>
  <c r="I19" i="9"/>
  <c r="H19" i="9"/>
  <c r="J17" i="9"/>
  <c r="I17" i="9"/>
  <c r="H17" i="9"/>
  <c r="J16" i="9"/>
  <c r="I16" i="9"/>
  <c r="H16" i="9"/>
  <c r="G15" i="9"/>
  <c r="F15" i="9"/>
  <c r="E15" i="9"/>
  <c r="D15" i="9"/>
  <c r="D26" i="9" s="1"/>
  <c r="C15" i="9"/>
  <c r="B15" i="9"/>
  <c r="B26" i="9" s="1"/>
  <c r="G16" i="9"/>
  <c r="E16" i="9"/>
  <c r="D14" i="9"/>
  <c r="D25" i="9" s="1"/>
  <c r="C14" i="9"/>
  <c r="B14" i="9"/>
  <c r="D24" i="9"/>
  <c r="C24" i="9"/>
  <c r="B24" i="9"/>
  <c r="S19" i="8"/>
  <c r="R19" i="8"/>
  <c r="Q19" i="8"/>
  <c r="O19" i="8"/>
  <c r="M19" i="8"/>
  <c r="L19" i="8"/>
  <c r="K19" i="8"/>
  <c r="G19" i="8"/>
  <c r="F19" i="8"/>
  <c r="E19" i="8"/>
  <c r="D19" i="8"/>
  <c r="C19" i="8"/>
  <c r="B19" i="8"/>
  <c r="P18" i="8"/>
  <c r="O18" i="8"/>
  <c r="N18" i="8"/>
  <c r="M18" i="8"/>
  <c r="L18" i="8"/>
  <c r="K18" i="8"/>
  <c r="J18" i="8"/>
  <c r="I18" i="8"/>
  <c r="H18" i="8"/>
  <c r="G18" i="8"/>
  <c r="F18" i="8"/>
  <c r="E18" i="8"/>
  <c r="D18" i="8"/>
  <c r="D29" i="8" s="1"/>
  <c r="C18" i="8"/>
  <c r="B18" i="8"/>
  <c r="B29" i="8" s="1"/>
  <c r="P19" i="8"/>
  <c r="N19" i="8"/>
  <c r="M17" i="8"/>
  <c r="L17" i="8"/>
  <c r="K17" i="8"/>
  <c r="I17" i="8"/>
  <c r="H17" i="8"/>
  <c r="G17" i="8"/>
  <c r="F17" i="8"/>
  <c r="E17" i="8"/>
  <c r="D17" i="8"/>
  <c r="C17" i="8"/>
  <c r="B17" i="8"/>
  <c r="J16" i="8"/>
  <c r="I16" i="8"/>
  <c r="J19" i="8"/>
  <c r="I19" i="8"/>
  <c r="H19" i="8"/>
  <c r="J17" i="8"/>
  <c r="H16" i="8"/>
  <c r="G15" i="8"/>
  <c r="F15" i="8"/>
  <c r="E15" i="8"/>
  <c r="D15" i="8"/>
  <c r="B15" i="8"/>
  <c r="B26" i="8" s="1"/>
  <c r="E16" i="8"/>
  <c r="D14" i="8"/>
  <c r="D25" i="8" s="1"/>
  <c r="C14" i="8"/>
  <c r="C25" i="8" s="1"/>
  <c r="B14" i="8"/>
  <c r="B25" i="8" s="1"/>
  <c r="D24" i="8"/>
  <c r="B24" i="8"/>
  <c r="C24" i="7"/>
  <c r="S19" i="7"/>
  <c r="R19" i="7"/>
  <c r="Q19" i="7"/>
  <c r="M19" i="7"/>
  <c r="L19" i="7"/>
  <c r="K19" i="7"/>
  <c r="G19" i="7"/>
  <c r="F19" i="7"/>
  <c r="E19" i="7"/>
  <c r="D19" i="7"/>
  <c r="C19" i="7"/>
  <c r="B19" i="7"/>
  <c r="P18" i="7"/>
  <c r="O18" i="7"/>
  <c r="N18" i="7"/>
  <c r="M18" i="7"/>
  <c r="L18" i="7"/>
  <c r="K18" i="7"/>
  <c r="J18" i="7"/>
  <c r="H18" i="7"/>
  <c r="G18" i="7"/>
  <c r="F18" i="7"/>
  <c r="E18" i="7"/>
  <c r="C18" i="7"/>
  <c r="P19" i="7"/>
  <c r="O19" i="7"/>
  <c r="N19" i="7"/>
  <c r="M17" i="7"/>
  <c r="L17" i="7"/>
  <c r="K17" i="7"/>
  <c r="G17" i="7"/>
  <c r="F17" i="7"/>
  <c r="E17" i="7"/>
  <c r="D17" i="7"/>
  <c r="C17" i="7"/>
  <c r="B17" i="7"/>
  <c r="I16" i="7"/>
  <c r="H16" i="7"/>
  <c r="J19" i="7"/>
  <c r="I19" i="7"/>
  <c r="H19" i="7"/>
  <c r="J17" i="7"/>
  <c r="I17" i="7"/>
  <c r="C28" i="7" s="1"/>
  <c r="H17" i="7"/>
  <c r="J16" i="7"/>
  <c r="G15" i="7"/>
  <c r="F15" i="7"/>
  <c r="E15" i="7"/>
  <c r="D15" i="7"/>
  <c r="D26" i="7" s="1"/>
  <c r="C15" i="7"/>
  <c r="C26" i="7" s="1"/>
  <c r="B15" i="7"/>
  <c r="B26" i="7" s="1"/>
  <c r="G16" i="7"/>
  <c r="F16" i="7"/>
  <c r="E16" i="7"/>
  <c r="D14" i="7"/>
  <c r="D25" i="7" s="1"/>
  <c r="C14" i="7"/>
  <c r="C25" i="7" s="1"/>
  <c r="B14" i="7"/>
  <c r="C16" i="7"/>
  <c r="B24" i="7"/>
  <c r="B24" i="6"/>
  <c r="S19" i="6"/>
  <c r="R19" i="6"/>
  <c r="Q19" i="6"/>
  <c r="P19" i="6"/>
  <c r="O19" i="6"/>
  <c r="M19" i="6"/>
  <c r="L19" i="6"/>
  <c r="K19" i="6"/>
  <c r="G19" i="6"/>
  <c r="F19" i="6"/>
  <c r="E19" i="6"/>
  <c r="D19" i="6"/>
  <c r="C19" i="6"/>
  <c r="B19" i="6"/>
  <c r="P18" i="6"/>
  <c r="O18" i="6"/>
  <c r="N18" i="6"/>
  <c r="M18" i="6"/>
  <c r="L18" i="6"/>
  <c r="K18" i="6"/>
  <c r="J18" i="6"/>
  <c r="I18" i="6"/>
  <c r="H18" i="6"/>
  <c r="G18" i="6"/>
  <c r="F18" i="6"/>
  <c r="E18" i="6"/>
  <c r="D18" i="6"/>
  <c r="D29" i="6" s="1"/>
  <c r="C18" i="6"/>
  <c r="B18" i="6"/>
  <c r="B29" i="6" s="1"/>
  <c r="M17" i="6"/>
  <c r="L17" i="6"/>
  <c r="K17" i="6"/>
  <c r="I17" i="6"/>
  <c r="G17" i="6"/>
  <c r="F17" i="6"/>
  <c r="E17" i="6"/>
  <c r="D17" i="6"/>
  <c r="C17" i="6"/>
  <c r="C28" i="6" s="1"/>
  <c r="B17" i="6"/>
  <c r="G16" i="6"/>
  <c r="J19" i="6"/>
  <c r="I19" i="6"/>
  <c r="H19" i="6"/>
  <c r="J17" i="6"/>
  <c r="H17" i="6"/>
  <c r="J16" i="6"/>
  <c r="I16" i="6"/>
  <c r="H16" i="6"/>
  <c r="G15" i="6"/>
  <c r="F15" i="6"/>
  <c r="E15" i="6"/>
  <c r="D15" i="6"/>
  <c r="C15" i="6"/>
  <c r="C26" i="6" s="1"/>
  <c r="B15" i="6"/>
  <c r="B26" i="6" s="1"/>
  <c r="D14" i="6"/>
  <c r="D25" i="6" s="1"/>
  <c r="C14" i="6"/>
  <c r="C25" i="6" s="1"/>
  <c r="B14" i="6"/>
  <c r="B25" i="6" s="1"/>
  <c r="D24" i="6"/>
  <c r="C16" i="6"/>
  <c r="B16" i="6"/>
  <c r="B31" i="5"/>
  <c r="D26" i="5"/>
  <c r="C26" i="5"/>
  <c r="B26" i="5"/>
  <c r="V17" i="5"/>
  <c r="U17" i="5"/>
  <c r="T17" i="5"/>
  <c r="N19" i="5" s="1"/>
  <c r="V15" i="5"/>
  <c r="J19" i="5" s="1"/>
  <c r="U15" i="5"/>
  <c r="T15" i="5"/>
  <c r="H19" i="5" s="1"/>
  <c r="P15" i="5"/>
  <c r="O15" i="5"/>
  <c r="N15" i="5"/>
  <c r="M15" i="5"/>
  <c r="L15" i="5"/>
  <c r="I16" i="5" s="1"/>
  <c r="K15" i="5"/>
  <c r="H16" i="5" s="1"/>
  <c r="M14" i="5"/>
  <c r="L14" i="5"/>
  <c r="F16" i="5" s="1"/>
  <c r="K14" i="5"/>
  <c r="M13" i="5"/>
  <c r="D24" i="5" s="1"/>
  <c r="L13" i="5"/>
  <c r="C16" i="5" s="1"/>
  <c r="K13" i="5"/>
  <c r="S19" i="5"/>
  <c r="R19" i="5"/>
  <c r="P19" i="5"/>
  <c r="O19" i="5"/>
  <c r="M19" i="5"/>
  <c r="L19" i="5"/>
  <c r="K19" i="5"/>
  <c r="I19" i="5"/>
  <c r="G19" i="5"/>
  <c r="F19" i="5"/>
  <c r="E19" i="5"/>
  <c r="D19" i="5"/>
  <c r="C19" i="5"/>
  <c r="B19" i="5"/>
  <c r="Q19" i="5"/>
  <c r="P18" i="5"/>
  <c r="O18" i="5"/>
  <c r="N18" i="5"/>
  <c r="M18" i="5"/>
  <c r="L18" i="5"/>
  <c r="K18" i="5"/>
  <c r="J18" i="5"/>
  <c r="I18" i="5"/>
  <c r="H18" i="5"/>
  <c r="G18" i="5"/>
  <c r="F18" i="5"/>
  <c r="E18" i="5"/>
  <c r="D18" i="5"/>
  <c r="C18" i="5"/>
  <c r="B18" i="5"/>
  <c r="M17" i="5"/>
  <c r="L17" i="5"/>
  <c r="K17" i="5"/>
  <c r="J17" i="5"/>
  <c r="I17" i="5"/>
  <c r="H17" i="5"/>
  <c r="G17" i="5"/>
  <c r="F17" i="5"/>
  <c r="C28" i="5" s="1"/>
  <c r="E17" i="5"/>
  <c r="D17" i="5"/>
  <c r="C17" i="5"/>
  <c r="B17" i="5"/>
  <c r="J16" i="5"/>
  <c r="G16" i="5"/>
  <c r="E16" i="5"/>
  <c r="D16" i="5"/>
  <c r="B16" i="5"/>
  <c r="G15" i="5"/>
  <c r="F15" i="5"/>
  <c r="E15" i="5"/>
  <c r="D15" i="5"/>
  <c r="C15" i="5"/>
  <c r="B15" i="5"/>
  <c r="D14" i="5"/>
  <c r="D25" i="5" s="1"/>
  <c r="C14" i="5"/>
  <c r="C25" i="5" s="1"/>
  <c r="B14" i="5"/>
  <c r="L19" i="4"/>
  <c r="J19" i="4"/>
  <c r="I23" i="4"/>
  <c r="I19" i="4"/>
  <c r="D19" i="4"/>
  <c r="C19" i="4"/>
  <c r="B19" i="4"/>
  <c r="M14" i="2"/>
  <c r="J11" i="4"/>
  <c r="G12" i="4" s="1"/>
  <c r="H11" i="4"/>
  <c r="E12" i="4" s="1"/>
  <c r="I11" i="4"/>
  <c r="F12" i="4" s="1"/>
  <c r="B11" i="4"/>
  <c r="B20" i="4" s="1"/>
  <c r="M14" i="4"/>
  <c r="L14" i="4"/>
  <c r="K14" i="4"/>
  <c r="J14" i="4"/>
  <c r="I14" i="4"/>
  <c r="H14" i="4"/>
  <c r="G14" i="4"/>
  <c r="F14" i="4"/>
  <c r="E14" i="4"/>
  <c r="D14" i="4"/>
  <c r="D23" i="4" s="1"/>
  <c r="C14" i="4"/>
  <c r="B14" i="4"/>
  <c r="B23" i="4" s="1"/>
  <c r="J13" i="4"/>
  <c r="I13" i="4"/>
  <c r="H13" i="4"/>
  <c r="G13" i="4"/>
  <c r="F13" i="4"/>
  <c r="E13" i="4"/>
  <c r="D13" i="4"/>
  <c r="C13" i="4"/>
  <c r="C22" i="4" s="1"/>
  <c r="B13" i="4"/>
  <c r="B22" i="4" s="1"/>
  <c r="D12" i="4"/>
  <c r="D21" i="4" s="1"/>
  <c r="C12" i="4"/>
  <c r="B12" i="4"/>
  <c r="B21" i="4" s="1"/>
  <c r="D11" i="4"/>
  <c r="D20" i="4" s="1"/>
  <c r="C11" i="4"/>
  <c r="C20" i="4" s="1"/>
  <c r="G9" i="9"/>
  <c r="E9" i="9"/>
  <c r="D9" i="9"/>
  <c r="C9" i="9"/>
  <c r="B9" i="9"/>
  <c r="H8" i="9"/>
  <c r="F8" i="9"/>
  <c r="E8" i="9"/>
  <c r="D8" i="9"/>
  <c r="C8" i="9"/>
  <c r="B8" i="9"/>
  <c r="H7" i="9"/>
  <c r="F9" i="9" s="1"/>
  <c r="E7" i="9"/>
  <c r="D7" i="9"/>
  <c r="C7" i="9"/>
  <c r="B7" i="9"/>
  <c r="D6" i="9"/>
  <c r="C6" i="9"/>
  <c r="B6" i="9"/>
  <c r="C5" i="9"/>
  <c r="B5" i="9"/>
  <c r="G4" i="9"/>
  <c r="B4" i="9"/>
  <c r="G9" i="8"/>
  <c r="F9" i="8"/>
  <c r="E9" i="8"/>
  <c r="D9" i="8"/>
  <c r="C9" i="8"/>
  <c r="B9" i="8"/>
  <c r="F8" i="8"/>
  <c r="E8" i="8"/>
  <c r="C8" i="8"/>
  <c r="B8" i="8"/>
  <c r="E7" i="8"/>
  <c r="D7" i="8"/>
  <c r="C7" i="8"/>
  <c r="B7" i="8"/>
  <c r="D6" i="8"/>
  <c r="G5" i="8"/>
  <c r="D8" i="8" s="1"/>
  <c r="C5" i="8"/>
  <c r="B5" i="8"/>
  <c r="E4" i="8"/>
  <c r="C6" i="8" s="1"/>
  <c r="B4" i="8"/>
  <c r="E3" i="8"/>
  <c r="B6" i="8" s="1"/>
  <c r="D3" i="8"/>
  <c r="G9" i="7"/>
  <c r="F9" i="7"/>
  <c r="E9" i="7"/>
  <c r="D9" i="7"/>
  <c r="F8" i="7"/>
  <c r="E8" i="7"/>
  <c r="C8" i="7"/>
  <c r="E7" i="7"/>
  <c r="D7" i="7"/>
  <c r="C7" i="7"/>
  <c r="B7" i="7"/>
  <c r="D6" i="7"/>
  <c r="C6" i="7"/>
  <c r="B6" i="7"/>
  <c r="G5" i="7"/>
  <c r="D8" i="7" s="1"/>
  <c r="C5" i="7"/>
  <c r="B5" i="7"/>
  <c r="H4" i="7"/>
  <c r="C9" i="7" s="1"/>
  <c r="E4" i="7"/>
  <c r="B4" i="7"/>
  <c r="H3" i="7"/>
  <c r="B9" i="7" s="1"/>
  <c r="G3" i="7"/>
  <c r="B8" i="7" s="1"/>
  <c r="G9" i="6"/>
  <c r="F9" i="6"/>
  <c r="E9" i="6"/>
  <c r="D9" i="6"/>
  <c r="B9" i="6"/>
  <c r="F8" i="6"/>
  <c r="E8" i="6"/>
  <c r="D8" i="6"/>
  <c r="C8" i="6"/>
  <c r="B8" i="6"/>
  <c r="H7" i="6"/>
  <c r="E7" i="6"/>
  <c r="D7" i="6"/>
  <c r="C7" i="6"/>
  <c r="B7" i="6"/>
  <c r="D6" i="6"/>
  <c r="C6" i="6"/>
  <c r="B6" i="6"/>
  <c r="C5" i="6"/>
  <c r="B5" i="6"/>
  <c r="H4" i="6"/>
  <c r="C9" i="6" s="1"/>
  <c r="G4" i="6"/>
  <c r="E4" i="6"/>
  <c r="B4" i="6"/>
  <c r="G9" i="5"/>
  <c r="F9" i="5"/>
  <c r="E9" i="5"/>
  <c r="D9" i="5"/>
  <c r="C9" i="5"/>
  <c r="B9" i="5"/>
  <c r="F8" i="5"/>
  <c r="E8" i="5"/>
  <c r="D8" i="5"/>
  <c r="C8" i="5"/>
  <c r="B8" i="5"/>
  <c r="H7" i="5"/>
  <c r="E7" i="5"/>
  <c r="D7" i="5"/>
  <c r="C7" i="5"/>
  <c r="B7" i="5"/>
  <c r="D6" i="5"/>
  <c r="C6" i="5"/>
  <c r="B6" i="5"/>
  <c r="H5" i="5"/>
  <c r="F5" i="5"/>
  <c r="E5" i="5"/>
  <c r="C5" i="5"/>
  <c r="B5" i="5"/>
  <c r="E4" i="5"/>
  <c r="B4" i="5"/>
  <c r="E3" i="5"/>
  <c r="E7" i="4"/>
  <c r="D7" i="4"/>
  <c r="C7" i="4"/>
  <c r="B7" i="4"/>
  <c r="D6" i="4"/>
  <c r="C6" i="4"/>
  <c r="B6" i="4"/>
  <c r="B5" i="4"/>
  <c r="D4" i="4"/>
  <c r="C5" i="4" s="1"/>
  <c r="B4" i="4"/>
  <c r="B93" i="3"/>
  <c r="B92" i="3"/>
  <c r="B91" i="3"/>
  <c r="B90" i="3"/>
  <c r="B89" i="3"/>
  <c r="B88" i="3"/>
  <c r="C93" i="3"/>
  <c r="C92" i="3"/>
  <c r="C91" i="3"/>
  <c r="C90" i="3"/>
  <c r="C89" i="3"/>
  <c r="D93" i="3"/>
  <c r="D92" i="3"/>
  <c r="D91" i="3"/>
  <c r="D90" i="3"/>
  <c r="E93" i="3"/>
  <c r="E92" i="3"/>
  <c r="E91" i="3"/>
  <c r="F93" i="3"/>
  <c r="F92" i="3"/>
  <c r="G93" i="3"/>
  <c r="G83" i="3"/>
  <c r="F83" i="3"/>
  <c r="F82" i="3"/>
  <c r="E83" i="3"/>
  <c r="E82" i="3"/>
  <c r="E81" i="3"/>
  <c r="D83" i="3"/>
  <c r="D82" i="3"/>
  <c r="D81" i="3"/>
  <c r="D80" i="3"/>
  <c r="C83" i="3"/>
  <c r="C82" i="3"/>
  <c r="C81" i="3"/>
  <c r="C80" i="3"/>
  <c r="C79" i="3"/>
  <c r="B83" i="3"/>
  <c r="B82" i="3"/>
  <c r="B81" i="3"/>
  <c r="B80" i="3"/>
  <c r="B79" i="3"/>
  <c r="B78" i="3"/>
  <c r="B73" i="3"/>
  <c r="B72" i="3"/>
  <c r="B71" i="3"/>
  <c r="B70" i="3"/>
  <c r="B69" i="3"/>
  <c r="B68" i="3"/>
  <c r="C73" i="3"/>
  <c r="C72" i="3"/>
  <c r="C71" i="3"/>
  <c r="C70" i="3"/>
  <c r="C69" i="3"/>
  <c r="D73" i="3"/>
  <c r="D72" i="3"/>
  <c r="D71" i="3"/>
  <c r="D70" i="3"/>
  <c r="E73" i="3"/>
  <c r="E72" i="3"/>
  <c r="E71" i="3"/>
  <c r="F73" i="3"/>
  <c r="F72" i="3"/>
  <c r="G73" i="3"/>
  <c r="G63" i="3"/>
  <c r="F63" i="3"/>
  <c r="F62" i="3"/>
  <c r="E63" i="3"/>
  <c r="E62" i="3"/>
  <c r="E61" i="3"/>
  <c r="D63" i="3"/>
  <c r="D62" i="3"/>
  <c r="D61" i="3"/>
  <c r="D60" i="3"/>
  <c r="C63" i="3"/>
  <c r="C62" i="3"/>
  <c r="C61" i="3"/>
  <c r="C60" i="3"/>
  <c r="C59" i="3"/>
  <c r="B63" i="3"/>
  <c r="B62" i="3"/>
  <c r="B61" i="3"/>
  <c r="B60" i="3"/>
  <c r="B59" i="3"/>
  <c r="B58" i="3"/>
  <c r="G53" i="3"/>
  <c r="F53" i="3"/>
  <c r="F52" i="3"/>
  <c r="E53" i="3"/>
  <c r="E52" i="3"/>
  <c r="E51" i="3"/>
  <c r="D53" i="3"/>
  <c r="D52" i="3"/>
  <c r="D51" i="3"/>
  <c r="D50" i="3"/>
  <c r="C53" i="3"/>
  <c r="C52" i="3"/>
  <c r="C51" i="3"/>
  <c r="C50" i="3"/>
  <c r="C49" i="3"/>
  <c r="B53" i="3"/>
  <c r="B52" i="3"/>
  <c r="B51" i="3"/>
  <c r="B50" i="3"/>
  <c r="B49" i="3"/>
  <c r="B48" i="3"/>
  <c r="E43" i="3"/>
  <c r="D43" i="3"/>
  <c r="D42" i="3"/>
  <c r="C43" i="3"/>
  <c r="C42" i="3"/>
  <c r="C41" i="3"/>
  <c r="B43" i="3"/>
  <c r="B42" i="3"/>
  <c r="B41" i="3"/>
  <c r="B40" i="3"/>
  <c r="H92" i="3"/>
  <c r="H91" i="3"/>
  <c r="G88" i="3"/>
  <c r="G79" i="3"/>
  <c r="E78" i="3"/>
  <c r="E77" i="3"/>
  <c r="D77" i="3"/>
  <c r="G69" i="3"/>
  <c r="H68" i="3"/>
  <c r="E68" i="3"/>
  <c r="H67" i="3"/>
  <c r="G67" i="3"/>
  <c r="H61" i="3"/>
  <c r="H58" i="3"/>
  <c r="G58" i="3"/>
  <c r="E58" i="3"/>
  <c r="H51" i="3"/>
  <c r="H49" i="3"/>
  <c r="F49" i="3"/>
  <c r="E49" i="3"/>
  <c r="E48" i="3"/>
  <c r="E47" i="3"/>
  <c r="D40" i="3"/>
  <c r="W13" i="10" l="1"/>
  <c r="R21" i="10"/>
  <c r="R22" i="10" s="1"/>
  <c r="S21" i="10"/>
  <c r="S22" i="10" s="1"/>
  <c r="S35" i="10"/>
  <c r="S36" i="10" s="1"/>
  <c r="S7" i="10"/>
  <c r="S8" i="10" s="1"/>
  <c r="S49" i="10"/>
  <c r="S50" i="10" s="1"/>
  <c r="R49" i="10"/>
  <c r="R50" i="10" s="1"/>
  <c r="S28" i="10"/>
  <c r="S29" i="10" s="1"/>
  <c r="R30" i="10" s="1"/>
  <c r="W27" i="10" s="1"/>
  <c r="R28" i="10"/>
  <c r="R29" i="10" s="1"/>
  <c r="Q14" i="10"/>
  <c r="Q15" i="10" s="1"/>
  <c r="R16" i="10" s="1"/>
  <c r="W12" i="10" s="1"/>
  <c r="R14" i="10"/>
  <c r="R15" i="10" s="1"/>
  <c r="Q49" i="10"/>
  <c r="Q50" i="10" s="1"/>
  <c r="Q42" i="10"/>
  <c r="Q43" i="10" s="1"/>
  <c r="Q35" i="10"/>
  <c r="Q36" i="10" s="1"/>
  <c r="R35" i="10"/>
  <c r="R36" i="10" s="1"/>
  <c r="Q21" i="10"/>
  <c r="Q22" i="10" s="1"/>
  <c r="Q7" i="10"/>
  <c r="Q8" i="10" s="1"/>
  <c r="D29" i="9"/>
  <c r="C25" i="9"/>
  <c r="C29" i="9"/>
  <c r="B25" i="9"/>
  <c r="B29" i="9"/>
  <c r="C26" i="9"/>
  <c r="D30" i="8"/>
  <c r="C30" i="8"/>
  <c r="B28" i="8"/>
  <c r="C28" i="8"/>
  <c r="D26" i="8"/>
  <c r="C26" i="8"/>
  <c r="C24" i="8"/>
  <c r="D28" i="8"/>
  <c r="C29" i="8"/>
  <c r="B28" i="7"/>
  <c r="C27" i="7"/>
  <c r="D29" i="7"/>
  <c r="C29" i="7"/>
  <c r="D24" i="7"/>
  <c r="B29" i="7"/>
  <c r="C30" i="6"/>
  <c r="C29" i="6"/>
  <c r="B30" i="9"/>
  <c r="C30" i="9"/>
  <c r="D30" i="9"/>
  <c r="B28" i="9"/>
  <c r="C28" i="9"/>
  <c r="B16" i="9"/>
  <c r="B27" i="9" s="1"/>
  <c r="C16" i="9"/>
  <c r="C27" i="9" s="1"/>
  <c r="D16" i="9"/>
  <c r="D27" i="9" s="1"/>
  <c r="B30" i="8"/>
  <c r="B16" i="8"/>
  <c r="B27" i="8" s="1"/>
  <c r="C16" i="8"/>
  <c r="C27" i="8" s="1"/>
  <c r="D16" i="8"/>
  <c r="D27" i="8" s="1"/>
  <c r="B30" i="7"/>
  <c r="C30" i="7"/>
  <c r="D28" i="7"/>
  <c r="D30" i="7"/>
  <c r="D16" i="7"/>
  <c r="D27" i="7" s="1"/>
  <c r="B16" i="7"/>
  <c r="B27" i="7" s="1"/>
  <c r="B25" i="7"/>
  <c r="B27" i="6"/>
  <c r="C27" i="6"/>
  <c r="D30" i="6"/>
  <c r="B28" i="6"/>
  <c r="D28" i="6"/>
  <c r="B30" i="6"/>
  <c r="D26" i="6"/>
  <c r="D16" i="6"/>
  <c r="D27" i="6" s="1"/>
  <c r="C24" i="6"/>
  <c r="B28" i="5"/>
  <c r="D30" i="5"/>
  <c r="B30" i="5"/>
  <c r="D29" i="5"/>
  <c r="C29" i="5"/>
  <c r="B27" i="5"/>
  <c r="C30" i="5"/>
  <c r="D28" i="5"/>
  <c r="C27" i="5"/>
  <c r="B25" i="5"/>
  <c r="D27" i="5"/>
  <c r="C24" i="5"/>
  <c r="B29" i="5"/>
  <c r="C24" i="4"/>
  <c r="C25" i="4" s="1"/>
  <c r="B26" i="4" s="1"/>
  <c r="B24" i="4"/>
  <c r="B25" i="4" s="1"/>
  <c r="C21" i="4"/>
  <c r="D22" i="4"/>
  <c r="D24" i="4" s="1"/>
  <c r="D25" i="4" s="1"/>
  <c r="C23" i="4"/>
  <c r="W26" i="10" l="1"/>
  <c r="S30" i="10"/>
  <c r="Q30" i="10"/>
  <c r="Q16" i="10"/>
  <c r="S16" i="10"/>
  <c r="S51" i="10"/>
  <c r="R51" i="10"/>
  <c r="Q51" i="10"/>
  <c r="S44" i="10"/>
  <c r="R44" i="10"/>
  <c r="Q44" i="10"/>
  <c r="S37" i="10"/>
  <c r="R37" i="10"/>
  <c r="Q37" i="10"/>
  <c r="S23" i="10"/>
  <c r="R23" i="10"/>
  <c r="Q23" i="10"/>
  <c r="Q9" i="10"/>
  <c r="R9" i="10"/>
  <c r="S9" i="10"/>
  <c r="D31" i="9"/>
  <c r="D32" i="9" s="1"/>
  <c r="D31" i="8"/>
  <c r="D32" i="8" s="1"/>
  <c r="C31" i="7"/>
  <c r="C32" i="7" s="1"/>
  <c r="B31" i="6"/>
  <c r="B32" i="6" s="1"/>
  <c r="D31" i="6"/>
  <c r="D32" i="6" s="1"/>
  <c r="C31" i="9"/>
  <c r="C32" i="9" s="1"/>
  <c r="B31" i="9"/>
  <c r="B32" i="9" s="1"/>
  <c r="C31" i="8"/>
  <c r="C32" i="8" s="1"/>
  <c r="B31" i="8"/>
  <c r="B32" i="8" s="1"/>
  <c r="B31" i="7"/>
  <c r="B32" i="7" s="1"/>
  <c r="D31" i="7"/>
  <c r="D32" i="7" s="1"/>
  <c r="C31" i="6"/>
  <c r="C32" i="6" s="1"/>
  <c r="B32" i="5"/>
  <c r="D31" i="5"/>
  <c r="D32" i="5" s="1"/>
  <c r="C31" i="5"/>
  <c r="C32" i="5" s="1"/>
  <c r="D26" i="4"/>
  <c r="C26" i="4"/>
  <c r="X19" i="10" l="1"/>
  <c r="X20" i="10"/>
  <c r="X6" i="10"/>
  <c r="X5" i="10"/>
  <c r="X34" i="10"/>
  <c r="X33" i="10"/>
  <c r="X13" i="10"/>
  <c r="X12" i="10"/>
  <c r="Y12" i="10" s="1"/>
  <c r="W48" i="10"/>
  <c r="W47" i="10"/>
  <c r="V33" i="10"/>
  <c r="V34" i="10"/>
  <c r="X47" i="10"/>
  <c r="X48" i="10"/>
  <c r="W5" i="10"/>
  <c r="W6" i="10"/>
  <c r="V41" i="10"/>
  <c r="V40" i="10"/>
  <c r="V12" i="10"/>
  <c r="V13" i="10"/>
  <c r="V20" i="10"/>
  <c r="V19" i="10"/>
  <c r="Y19" i="10" s="1"/>
  <c r="W33" i="10"/>
  <c r="Y33" i="10" s="1"/>
  <c r="W34" i="10"/>
  <c r="Y34" i="10" s="1"/>
  <c r="V6" i="10"/>
  <c r="W40" i="10"/>
  <c r="W41" i="10"/>
  <c r="V27" i="10"/>
  <c r="Y27" i="10" s="1"/>
  <c r="V26" i="10"/>
  <c r="Y26" i="10" s="1"/>
  <c r="X41" i="10"/>
  <c r="X40" i="10"/>
  <c r="X27" i="10"/>
  <c r="X26" i="10"/>
  <c r="W20" i="10"/>
  <c r="W19" i="10"/>
  <c r="V47" i="10"/>
  <c r="V48" i="10"/>
  <c r="Y48" i="10" s="1"/>
  <c r="Y47" i="10"/>
  <c r="Y40" i="10"/>
  <c r="D33" i="6"/>
  <c r="K29" i="6" s="1"/>
  <c r="D33" i="9"/>
  <c r="C33" i="9"/>
  <c r="B33" i="9"/>
  <c r="D33" i="8"/>
  <c r="C33" i="8"/>
  <c r="B33" i="8"/>
  <c r="D33" i="7"/>
  <c r="B33" i="7"/>
  <c r="C33" i="7"/>
  <c r="K30" i="6"/>
  <c r="B33" i="6"/>
  <c r="C33" i="6"/>
  <c r="C33" i="5"/>
  <c r="D33" i="5"/>
  <c r="B33" i="5"/>
  <c r="I20" i="4"/>
  <c r="I21" i="4"/>
  <c r="I22" i="4"/>
  <c r="J20" i="4"/>
  <c r="J22" i="4"/>
  <c r="J23" i="4"/>
  <c r="J21" i="4"/>
  <c r="K19" i="4"/>
  <c r="K20" i="4"/>
  <c r="K21" i="4"/>
  <c r="K22" i="4"/>
  <c r="K23" i="4"/>
  <c r="Y14" i="10" l="1"/>
  <c r="Y21" i="10"/>
  <c r="Z19" i="10" s="1"/>
  <c r="Y35" i="10"/>
  <c r="Z34" i="10" s="1"/>
  <c r="AA34" i="10" s="1"/>
  <c r="Y28" i="10"/>
  <c r="Z26" i="10"/>
  <c r="AA26" i="10" s="1"/>
  <c r="AA28" i="10" s="1"/>
  <c r="Z27" i="10"/>
  <c r="AA27" i="10" s="1"/>
  <c r="Y20" i="10"/>
  <c r="Z48" i="10"/>
  <c r="AA48" i="10" s="1"/>
  <c r="Y13" i="10"/>
  <c r="Y49" i="10"/>
  <c r="Z47" i="10"/>
  <c r="Y5" i="10"/>
  <c r="Y6" i="10"/>
  <c r="Y41" i="10"/>
  <c r="AA47" i="10"/>
  <c r="Z49" i="10"/>
  <c r="I27" i="5"/>
  <c r="I30" i="5"/>
  <c r="I28" i="5"/>
  <c r="I25" i="5"/>
  <c r="I26" i="5"/>
  <c r="I29" i="5"/>
  <c r="L29" i="5" s="1"/>
  <c r="K29" i="5"/>
  <c r="K27" i="5"/>
  <c r="K30" i="5"/>
  <c r="K25" i="5"/>
  <c r="K28" i="5"/>
  <c r="K26" i="5"/>
  <c r="J30" i="5"/>
  <c r="J25" i="5"/>
  <c r="J27" i="5"/>
  <c r="J28" i="5"/>
  <c r="J26" i="5"/>
  <c r="J29" i="5"/>
  <c r="K28" i="6"/>
  <c r="K27" i="6"/>
  <c r="K26" i="6"/>
  <c r="K25" i="6"/>
  <c r="K24" i="6"/>
  <c r="K26" i="9"/>
  <c r="K29" i="9"/>
  <c r="K24" i="9"/>
  <c r="K25" i="9"/>
  <c r="K28" i="9"/>
  <c r="K27" i="9"/>
  <c r="K30" i="9"/>
  <c r="J26" i="9"/>
  <c r="J24" i="9"/>
  <c r="J29" i="9"/>
  <c r="J25" i="9"/>
  <c r="J27" i="9"/>
  <c r="J30" i="9"/>
  <c r="J28" i="9"/>
  <c r="I24" i="9"/>
  <c r="I29" i="9"/>
  <c r="L29" i="9" s="1"/>
  <c r="I26" i="9"/>
  <c r="L26" i="9" s="1"/>
  <c r="I25" i="9"/>
  <c r="I28" i="9"/>
  <c r="L28" i="9" s="1"/>
  <c r="I27" i="9"/>
  <c r="L27" i="9" s="1"/>
  <c r="I30" i="9"/>
  <c r="L30" i="9" s="1"/>
  <c r="I29" i="8"/>
  <c r="I25" i="8"/>
  <c r="I24" i="8"/>
  <c r="I28" i="8"/>
  <c r="I26" i="8"/>
  <c r="I30" i="8"/>
  <c r="L30" i="8" s="1"/>
  <c r="I27" i="8"/>
  <c r="J29" i="8"/>
  <c r="J24" i="8"/>
  <c r="J25" i="8"/>
  <c r="J30" i="8"/>
  <c r="J26" i="8"/>
  <c r="J28" i="8"/>
  <c r="J27" i="8"/>
  <c r="K26" i="8"/>
  <c r="K25" i="8"/>
  <c r="K29" i="8"/>
  <c r="K24" i="8"/>
  <c r="K30" i="8"/>
  <c r="K28" i="8"/>
  <c r="K27" i="8"/>
  <c r="J26" i="7"/>
  <c r="J27" i="7"/>
  <c r="J25" i="7"/>
  <c r="J29" i="7"/>
  <c r="J28" i="7"/>
  <c r="J24" i="7"/>
  <c r="J30" i="7"/>
  <c r="I28" i="7"/>
  <c r="L28" i="7" s="1"/>
  <c r="I26" i="7"/>
  <c r="I29" i="7"/>
  <c r="L29" i="7" s="1"/>
  <c r="I24" i="7"/>
  <c r="I30" i="7"/>
  <c r="I27" i="7"/>
  <c r="I25" i="7"/>
  <c r="K26" i="7"/>
  <c r="K29" i="7"/>
  <c r="K24" i="7"/>
  <c r="K25" i="7"/>
  <c r="K28" i="7"/>
  <c r="K27" i="7"/>
  <c r="K30" i="7"/>
  <c r="I25" i="6"/>
  <c r="I26" i="6"/>
  <c r="I29" i="6"/>
  <c r="L29" i="6" s="1"/>
  <c r="I30" i="6"/>
  <c r="I27" i="6"/>
  <c r="L27" i="6" s="1"/>
  <c r="I28" i="6"/>
  <c r="J30" i="6"/>
  <c r="J29" i="6"/>
  <c r="J28" i="6"/>
  <c r="J26" i="6"/>
  <c r="J25" i="6"/>
  <c r="J27" i="6"/>
  <c r="J24" i="6"/>
  <c r="AA19" i="10" l="1"/>
  <c r="AA21" i="10" s="1"/>
  <c r="Y7" i="10"/>
  <c r="Z6" i="10" s="1"/>
  <c r="AA6" i="10" s="1"/>
  <c r="Z28" i="10"/>
  <c r="AA49" i="10"/>
  <c r="Z33" i="10"/>
  <c r="Z13" i="10"/>
  <c r="AA13" i="10" s="1"/>
  <c r="Y42" i="10"/>
  <c r="Z40" i="10" s="1"/>
  <c r="Z20" i="10"/>
  <c r="AA20" i="10" s="1"/>
  <c r="Z12" i="10"/>
  <c r="Z14" i="10" s="1"/>
  <c r="L26" i="5"/>
  <c r="L25" i="5"/>
  <c r="L28" i="5"/>
  <c r="L30" i="5"/>
  <c r="L27" i="5"/>
  <c r="L27" i="8"/>
  <c r="L28" i="6"/>
  <c r="L24" i="9"/>
  <c r="L25" i="9"/>
  <c r="L26" i="8"/>
  <c r="L28" i="8"/>
  <c r="L24" i="8"/>
  <c r="L25" i="8"/>
  <c r="L29" i="8"/>
  <c r="L25" i="7"/>
  <c r="L27" i="7"/>
  <c r="L30" i="7"/>
  <c r="L24" i="7"/>
  <c r="L26" i="7"/>
  <c r="L30" i="6"/>
  <c r="L26" i="6"/>
  <c r="L25" i="6"/>
  <c r="L24" i="6"/>
  <c r="AA33" i="10" l="1"/>
  <c r="AA35" i="10" s="1"/>
  <c r="Z35" i="10"/>
  <c r="AA40" i="10"/>
  <c r="Z5" i="10"/>
  <c r="AA12" i="10"/>
  <c r="AA14" i="10" s="1"/>
  <c r="Z21" i="10"/>
  <c r="Z41" i="10"/>
  <c r="AA41" i="10" s="1"/>
  <c r="L31" i="5"/>
  <c r="M29" i="5" s="1"/>
  <c r="N29" i="5" s="1"/>
  <c r="L31" i="9"/>
  <c r="M24" i="9" s="1"/>
  <c r="L31" i="8"/>
  <c r="M24" i="8" s="1"/>
  <c r="L31" i="7"/>
  <c r="M30" i="7" s="1"/>
  <c r="N30" i="7" s="1"/>
  <c r="L31" i="6"/>
  <c r="M24" i="6" s="1"/>
  <c r="AA5" i="10" l="1"/>
  <c r="AA7" i="10" s="1"/>
  <c r="Z7" i="10"/>
  <c r="Z42" i="10"/>
  <c r="AA42" i="10"/>
  <c r="M26" i="5"/>
  <c r="N26" i="5" s="1"/>
  <c r="M27" i="5"/>
  <c r="N27" i="5" s="1"/>
  <c r="M30" i="5"/>
  <c r="N30" i="5" s="1"/>
  <c r="M28" i="5"/>
  <c r="N28" i="5" s="1"/>
  <c r="M25" i="5"/>
  <c r="N25" i="5" s="1"/>
  <c r="M26" i="8"/>
  <c r="N26" i="8" s="1"/>
  <c r="M28" i="8"/>
  <c r="N28" i="8" s="1"/>
  <c r="M29" i="8"/>
  <c r="N29" i="8" s="1"/>
  <c r="M27" i="7"/>
  <c r="N27" i="7" s="1"/>
  <c r="M26" i="6"/>
  <c r="N26" i="6" s="1"/>
  <c r="M30" i="6"/>
  <c r="N30" i="6" s="1"/>
  <c r="M25" i="6"/>
  <c r="N25" i="6" s="1"/>
  <c r="N24" i="9"/>
  <c r="M30" i="9"/>
  <c r="N30" i="9" s="1"/>
  <c r="M26" i="9"/>
  <c r="N26" i="9" s="1"/>
  <c r="M27" i="9"/>
  <c r="N27" i="9" s="1"/>
  <c r="M29" i="9"/>
  <c r="N29" i="9" s="1"/>
  <c r="M28" i="9"/>
  <c r="N28" i="9" s="1"/>
  <c r="M25" i="9"/>
  <c r="N25" i="9" s="1"/>
  <c r="N24" i="8"/>
  <c r="M27" i="8"/>
  <c r="N27" i="8" s="1"/>
  <c r="M30" i="8"/>
  <c r="N30" i="8" s="1"/>
  <c r="M25" i="8"/>
  <c r="N25" i="8" s="1"/>
  <c r="M24" i="7"/>
  <c r="M29" i="7"/>
  <c r="N29" i="7" s="1"/>
  <c r="M28" i="7"/>
  <c r="N28" i="7" s="1"/>
  <c r="M26" i="7"/>
  <c r="N26" i="7" s="1"/>
  <c r="M25" i="7"/>
  <c r="N25" i="7" s="1"/>
  <c r="N24" i="6"/>
  <c r="M27" i="6"/>
  <c r="N27" i="6" s="1"/>
  <c r="M28" i="6"/>
  <c r="N28" i="6" s="1"/>
  <c r="M29" i="6"/>
  <c r="N29" i="6" s="1"/>
  <c r="M31" i="5" l="1"/>
  <c r="N31" i="5"/>
  <c r="M31" i="9"/>
  <c r="N31" i="9"/>
  <c r="M31" i="8"/>
  <c r="N31" i="8"/>
  <c r="N24" i="7"/>
  <c r="N31" i="7" s="1"/>
  <c r="M31" i="7"/>
  <c r="M31" i="6"/>
  <c r="N31" i="6"/>
  <c r="N15" i="2" l="1"/>
  <c r="M16" i="2"/>
  <c r="M19" i="2"/>
  <c r="O14" i="2"/>
  <c r="N14" i="2"/>
  <c r="AC9" i="2"/>
  <c r="AD9" i="2"/>
  <c r="AB9" i="2"/>
  <c r="AE8" i="2"/>
  <c r="Z8" i="2"/>
  <c r="AA8" i="2"/>
  <c r="Z9" i="2"/>
  <c r="AA9" i="2"/>
  <c r="Y8" i="2"/>
  <c r="W7" i="2"/>
  <c r="X7" i="2"/>
  <c r="W8" i="2"/>
  <c r="X8" i="2"/>
  <c r="W9" i="2"/>
  <c r="X9" i="2"/>
  <c r="V9" i="2"/>
  <c r="V8" i="2"/>
  <c r="V7" i="2"/>
  <c r="T6" i="2"/>
  <c r="U6" i="2"/>
  <c r="T7" i="2"/>
  <c r="U7" i="2"/>
  <c r="T8" i="2"/>
  <c r="U8" i="2"/>
  <c r="T9" i="2"/>
  <c r="U9" i="2"/>
  <c r="S9" i="2"/>
  <c r="S8" i="2"/>
  <c r="S7" i="2"/>
  <c r="S6" i="2"/>
  <c r="Q5" i="2"/>
  <c r="R5" i="2"/>
  <c r="Q6" i="2"/>
  <c r="R6" i="2"/>
  <c r="Q7" i="2"/>
  <c r="R7" i="2"/>
  <c r="Q8" i="2"/>
  <c r="R8" i="2"/>
  <c r="Q9" i="2"/>
  <c r="R9" i="2"/>
  <c r="P9" i="2"/>
  <c r="P8" i="2"/>
  <c r="P7" i="2"/>
  <c r="P6" i="2"/>
  <c r="P5" i="2"/>
  <c r="N6" i="2"/>
  <c r="N17" i="2" s="1"/>
  <c r="O6" i="2"/>
  <c r="O17" i="2" s="1"/>
  <c r="N7" i="2"/>
  <c r="N18" i="2" s="1"/>
  <c r="O7" i="2"/>
  <c r="O18" i="2" s="1"/>
  <c r="N8" i="2"/>
  <c r="N19" i="2" s="1"/>
  <c r="O8" i="2"/>
  <c r="O19" i="2" s="1"/>
  <c r="N9" i="2"/>
  <c r="N20" i="2" s="1"/>
  <c r="O9" i="2"/>
  <c r="O20" i="2" s="1"/>
  <c r="M9" i="2"/>
  <c r="M20" i="2" s="1"/>
  <c r="M8" i="2"/>
  <c r="M7" i="2"/>
  <c r="M18" i="2" s="1"/>
  <c r="M6" i="2"/>
  <c r="M17" i="2" s="1"/>
  <c r="N5" i="2"/>
  <c r="N16" i="2" s="1"/>
  <c r="O5" i="2"/>
  <c r="O16" i="2" s="1"/>
  <c r="M5" i="2"/>
  <c r="N4" i="2"/>
  <c r="O4" i="2"/>
  <c r="O15" i="2" s="1"/>
  <c r="M4" i="2"/>
  <c r="M15" i="2" s="1"/>
  <c r="AE7" i="2"/>
  <c r="Y9" i="2" s="1"/>
  <c r="N21" i="2" l="1"/>
  <c r="N22" i="2" s="1"/>
  <c r="M21" i="2"/>
  <c r="M22" i="2" s="1"/>
  <c r="O23" i="2" s="1"/>
  <c r="V14" i="2" s="1"/>
  <c r="O21" i="2"/>
  <c r="O22" i="2" s="1"/>
  <c r="V19" i="2"/>
  <c r="V15" i="2"/>
  <c r="V16" i="2"/>
  <c r="M23" i="2"/>
  <c r="N23" i="2"/>
  <c r="C18" i="3"/>
  <c r="C16" i="3"/>
  <c r="B6" i="3"/>
  <c r="F11" i="3"/>
  <c r="F24" i="3" s="1"/>
  <c r="G11" i="3"/>
  <c r="G27" i="3" s="1"/>
  <c r="E10" i="3"/>
  <c r="D10" i="3"/>
  <c r="C10" i="3"/>
  <c r="H9" i="3"/>
  <c r="E9" i="3"/>
  <c r="C9" i="3"/>
  <c r="B9" i="3"/>
  <c r="H8" i="3"/>
  <c r="D8" i="3"/>
  <c r="C8" i="3"/>
  <c r="B8" i="3"/>
  <c r="D7" i="3"/>
  <c r="C6" i="3"/>
  <c r="V20" i="2" l="1"/>
  <c r="V18" i="2"/>
  <c r="V17" i="2"/>
  <c r="T16" i="2"/>
  <c r="T19" i="2"/>
  <c r="T14" i="2"/>
  <c r="T17" i="2"/>
  <c r="W17" i="2" s="1"/>
  <c r="T20" i="2"/>
  <c r="T15" i="2"/>
  <c r="W15" i="2" s="1"/>
  <c r="T18" i="2"/>
  <c r="W18" i="2" s="1"/>
  <c r="U14" i="2"/>
  <c r="U16" i="2"/>
  <c r="U15" i="2"/>
  <c r="U19" i="2"/>
  <c r="U17" i="2"/>
  <c r="U20" i="2"/>
  <c r="U18" i="2"/>
  <c r="E11" i="3"/>
  <c r="E25" i="3" s="1"/>
  <c r="F27" i="3"/>
  <c r="G23" i="3"/>
  <c r="E29" i="3"/>
  <c r="E28" i="3"/>
  <c r="G26" i="3"/>
  <c r="E27" i="3"/>
  <c r="F23" i="3"/>
  <c r="F26" i="3"/>
  <c r="G29" i="3"/>
  <c r="G25" i="3"/>
  <c r="E23" i="3"/>
  <c r="E26" i="3"/>
  <c r="F29" i="3"/>
  <c r="F25" i="3"/>
  <c r="G28" i="3"/>
  <c r="G24" i="3"/>
  <c r="B11" i="3"/>
  <c r="F28" i="3"/>
  <c r="H11" i="3"/>
  <c r="H27" i="3" s="1"/>
  <c r="D11" i="3"/>
  <c r="D27" i="3" s="1"/>
  <c r="C11" i="3"/>
  <c r="C29" i="3" s="1"/>
  <c r="W20" i="2" l="1"/>
  <c r="W14" i="2"/>
  <c r="W19" i="2"/>
  <c r="W16" i="2"/>
  <c r="E24" i="3"/>
  <c r="G30" i="3"/>
  <c r="E30" i="3"/>
  <c r="F30" i="3"/>
  <c r="C28" i="3"/>
  <c r="B26" i="3"/>
  <c r="B29" i="3"/>
  <c r="B24" i="3"/>
  <c r="B27" i="3"/>
  <c r="B23" i="3"/>
  <c r="D23" i="3"/>
  <c r="D24" i="3"/>
  <c r="D28" i="3"/>
  <c r="D25" i="3"/>
  <c r="C26" i="3"/>
  <c r="C24" i="3"/>
  <c r="C23" i="3"/>
  <c r="C27" i="3"/>
  <c r="D29" i="3"/>
  <c r="C25" i="3"/>
  <c r="B28" i="3"/>
  <c r="H26" i="3"/>
  <c r="H23" i="3"/>
  <c r="H24" i="3"/>
  <c r="H25" i="3"/>
  <c r="H29" i="3"/>
  <c r="B25" i="3"/>
  <c r="H28" i="3"/>
  <c r="D26" i="3"/>
  <c r="W21" i="2" l="1"/>
  <c r="H30" i="3"/>
  <c r="C30" i="3"/>
  <c r="D30" i="3"/>
  <c r="B30" i="3"/>
  <c r="I28" i="3"/>
  <c r="I27" i="3"/>
  <c r="I24" i="3"/>
  <c r="I29" i="3"/>
  <c r="I25" i="3"/>
  <c r="I23" i="3"/>
  <c r="I26" i="3"/>
  <c r="X15" i="2" l="1"/>
  <c r="Y15" i="2" s="1"/>
  <c r="X18" i="2"/>
  <c r="Y18" i="2" s="1"/>
  <c r="X17" i="2"/>
  <c r="Y17" i="2" s="1"/>
  <c r="X16" i="2"/>
  <c r="Y16" i="2" s="1"/>
  <c r="X14" i="2"/>
  <c r="X20" i="2"/>
  <c r="Y20" i="2" s="1"/>
  <c r="X19" i="2"/>
  <c r="Y19" i="2" s="1"/>
  <c r="I30" i="3"/>
  <c r="J23" i="3" s="1"/>
  <c r="J29" i="3"/>
  <c r="J27" i="3"/>
  <c r="Y14" i="2" l="1"/>
  <c r="Y21" i="2" s="1"/>
  <c r="X21" i="2"/>
  <c r="J28" i="3"/>
  <c r="J24" i="3"/>
  <c r="J26" i="3"/>
  <c r="J25" i="3"/>
  <c r="B32" i="3" l="1"/>
  <c r="B33" i="3" s="1"/>
  <c r="B34" i="3" s="1"/>
  <c r="J30" i="3"/>
  <c r="L23" i="4" l="1"/>
  <c r="L22" i="4"/>
  <c r="L21" i="4"/>
  <c r="L20" i="4"/>
  <c r="L24" i="4" l="1"/>
  <c r="M19" i="4" s="1"/>
  <c r="M21" i="4" l="1"/>
  <c r="N21" i="4" s="1"/>
  <c r="M20" i="4"/>
  <c r="N20" i="4" s="1"/>
  <c r="N19" i="4"/>
  <c r="M23" i="4"/>
  <c r="N23" i="4" s="1"/>
  <c r="M22" i="4"/>
  <c r="N22" i="4" s="1"/>
  <c r="M24" i="4" l="1"/>
  <c r="N24" i="4"/>
</calcChain>
</file>

<file path=xl/sharedStrings.xml><?xml version="1.0" encoding="utf-8"?>
<sst xmlns="http://schemas.openxmlformats.org/spreadsheetml/2006/main" count="754" uniqueCount="120">
  <si>
    <t xml:space="preserve">A. Pengumpulan Data ISM </t>
  </si>
  <si>
    <r>
      <t xml:space="preserve">1. </t>
    </r>
    <r>
      <rPr>
        <i/>
        <sz val="11"/>
        <color theme="1"/>
        <rFont val="Times New Roman"/>
        <family val="1"/>
      </rPr>
      <t>Business Requirement (BRs)</t>
    </r>
  </si>
  <si>
    <t>NO</t>
  </si>
  <si>
    <t>CV. Tiga Mulia Las - BRs</t>
  </si>
  <si>
    <t>memanfaatkan pemasaran digital untuk pengembangan dan penjualan produk</t>
  </si>
  <si>
    <t>Rencana pemasaran CV. Tiga Mulia Las</t>
  </si>
  <si>
    <t>Segmentation &amp; targeting</t>
  </si>
  <si>
    <t>The customer</t>
  </si>
  <si>
    <t>Organisation structure &amp; culture</t>
  </si>
  <si>
    <t>Custumer relention</t>
  </si>
  <si>
    <t xml:space="preserve">Positioning &amp; branding </t>
  </si>
  <si>
    <t xml:space="preserve">Indutry &amp; market </t>
  </si>
  <si>
    <t xml:space="preserve">Offerings </t>
  </si>
  <si>
    <t>Memaksimalkan volume penjualan</t>
  </si>
  <si>
    <t xml:space="preserve">Menghadapi produk pesaing </t>
  </si>
  <si>
    <t>Meningkatkan pangsa pasar</t>
  </si>
  <si>
    <t>Meningkatkan profit</t>
  </si>
  <si>
    <t xml:space="preserve">Meningkatkan kepuasan pelanggan </t>
  </si>
  <si>
    <t xml:space="preserve">Produk </t>
  </si>
  <si>
    <t>Mengembangkan Inovasi produk</t>
  </si>
  <si>
    <t>Menjaga kualitas</t>
  </si>
  <si>
    <t>Price</t>
  </si>
  <si>
    <t>Melakukan Riset permintaan pasar</t>
  </si>
  <si>
    <t>Menetapkan harga dibawah harga produk lain</t>
  </si>
  <si>
    <t>Place</t>
  </si>
  <si>
    <t>Memperluas saluran distribusi</t>
  </si>
  <si>
    <t>Tentukan target pasar</t>
  </si>
  <si>
    <t>Promotion</t>
  </si>
  <si>
    <t xml:space="preserve">Memaperluas media sosial </t>
  </si>
  <si>
    <t>Pemasaran langsung</t>
  </si>
  <si>
    <t xml:space="preserve">Process </t>
  </si>
  <si>
    <t>Memenuhi kebutuhan pelanggan</t>
  </si>
  <si>
    <t>Melakukan proses produksi secara kontinyu</t>
  </si>
  <si>
    <t>People</t>
  </si>
  <si>
    <t>Meningkatkan SDM</t>
  </si>
  <si>
    <t>Mahir pada bidangnya</t>
  </si>
  <si>
    <t>Physical evidence</t>
  </si>
  <si>
    <t>Perusahan sudah Legalitas</t>
  </si>
  <si>
    <t>Sudah tersertifikasi</t>
  </si>
  <si>
    <t>No</t>
  </si>
  <si>
    <t>Point</t>
  </si>
  <si>
    <t>Elemen</t>
  </si>
  <si>
    <t>Skenario pemasaran</t>
  </si>
  <si>
    <t>Tujuan</t>
  </si>
  <si>
    <t>Aksi</t>
  </si>
  <si>
    <t>Sub Aksi</t>
  </si>
  <si>
    <t>A. Pengumpulan Data FAHP</t>
  </si>
  <si>
    <t xml:space="preserve">B. Struktur Heirarki </t>
  </si>
  <si>
    <t>Skenario</t>
  </si>
  <si>
    <t>segemntasi dan target</t>
  </si>
  <si>
    <t>pelanggan</t>
  </si>
  <si>
    <t>struktur organisasi</t>
  </si>
  <si>
    <t>Retensi</t>
  </si>
  <si>
    <t>Posisi dan merek</t>
  </si>
  <si>
    <t>Industri dan pasar</t>
  </si>
  <si>
    <t>C. PENGOLAHAN DATA</t>
  </si>
  <si>
    <t>1. Matrix Perbandingan skenario rencana pemasaran dengan SCORPIO</t>
  </si>
  <si>
    <t xml:space="preserve">Jumlah </t>
  </si>
  <si>
    <t>a. Perhitugan Uji konsistensi Elemen Hasil Responden</t>
  </si>
  <si>
    <t>Dari matrik diatas, langkah selanjutnya adalah melakukan perhitungan Prioritas dengan membagi tiap -tiap bobot pada sel
dengan nilai total dari tiap-tiap kolom, berikut merupakan contoh perhitungan untuk elemen SKENARIO :</t>
  </si>
  <si>
    <t>Jumlah Baris</t>
  </si>
  <si>
    <t>Eigen Vektor Normalisasi</t>
  </si>
  <si>
    <t>Berikut merupakan rekapitulasi hasil dari perhitungan di atas</t>
  </si>
  <si>
    <t>Kemudian dilanjutkan dengan menghitung nilai eigen dan Indeks konsistensi dan rasio konsistensi untuk kriteria.</t>
  </si>
  <si>
    <t>max =</t>
  </si>
  <si>
    <t>CI =</t>
  </si>
  <si>
    <t>CR =</t>
  </si>
  <si>
    <t>karena nilai CR &lt; 0.10 maka berarti prefensi penilaian konsisten</t>
  </si>
  <si>
    <t>Penawaran</t>
  </si>
  <si>
    <t>Geometric Mean</t>
  </si>
  <si>
    <t>Total</t>
  </si>
  <si>
    <t>Inverse</t>
  </si>
  <si>
    <t>Increasing Order</t>
  </si>
  <si>
    <t>Fuzzy weight</t>
  </si>
  <si>
    <t>Mi</t>
  </si>
  <si>
    <t>Normalized</t>
  </si>
  <si>
    <t>Priority Vector</t>
  </si>
  <si>
    <t>Kesimpulan</t>
  </si>
  <si>
    <t>Elemen yang paling penting untuk diperhatikan adalah elemen dengan nilai prioritas tertinggi yaitu Pelanggan dengan skala prioritas mencapai 27%. Elemen inilah yang perlu mendapat perhatian khusus dan pemahaman yang lebih dalam lagi. Sedangkan elemen yang tidak terlalu genting untuk diperhatikan adalah posisi dan merek dan juga industri dan pasar dikarenakan mereka memiliki skala prioritas yang paling rendah sebesar 6% masing-masingnya.</t>
  </si>
  <si>
    <t>2. Matrix Perbandingan berpasangan antara tujuan strategi pemasaran</t>
  </si>
  <si>
    <t>Menghadapi produk pesaing</t>
  </si>
  <si>
    <t>Meningkatkan kepuasan pelanggan</t>
  </si>
  <si>
    <t>3. Matrix Perbandingan berpasangan terhadap aksi dalam tujuan memaksimalkan volume penjualan</t>
  </si>
  <si>
    <t>Harga</t>
  </si>
  <si>
    <t>Tempat</t>
  </si>
  <si>
    <t>Promosi</t>
  </si>
  <si>
    <t>Proses</t>
  </si>
  <si>
    <t>Orang</t>
  </si>
  <si>
    <t>Bentuk Fisik</t>
  </si>
  <si>
    <t>3. Matrix Perbandingan berpasangan terhadap aksi dalam tujuan menghadapi produk pesaing</t>
  </si>
  <si>
    <t>3. Matrix Perbandingan berpasangan terhadap aksi dalam tujuan meningkatkan pangsa pasar</t>
  </si>
  <si>
    <t>3. Matrix Perbandingan berpasangan terhadap aksi dalam tujuan meningkatkan profit</t>
  </si>
  <si>
    <t>3. Matrix Perbandingan berpasangan terhadap aksi dalam tujuan meningkatkan kepuasan pelanggan</t>
  </si>
  <si>
    <t>Matriks Perbandingan Berpasangan antar subaksi</t>
  </si>
  <si>
    <t>Mengembangkan inovasi produk</t>
  </si>
  <si>
    <t>Produk</t>
  </si>
  <si>
    <t>Melakukan riset pasar</t>
  </si>
  <si>
    <t>menetapkan harga di bawah harga pokok</t>
  </si>
  <si>
    <t>Lokasi</t>
  </si>
  <si>
    <t>Memperluas media sosial</t>
  </si>
  <si>
    <t xml:space="preserve">Proses </t>
  </si>
  <si>
    <t>Melakukan proses secara kontinyu</t>
  </si>
  <si>
    <t>Perusahaan sudah legalitas</t>
  </si>
  <si>
    <t>Sudah bersertifikasi</t>
  </si>
  <si>
    <t>Elemen yang paling penting untuk diperhatikan adalah elemen dengan nilai prioritas tertinggi yaitu menghadapi produk pesaing dengan skala prioritas mencapai 27%. Elemen inilah yang perlu mendapat perhatian khusus dan pemahaman yang lebih dalam lagi. Sedangkan elemen yang tidak terlalu genting untuk diperhatikan adalah meningkatkan pangsa pasar dikarenakan memiliki skala prioritas yang paling rendah sebesar 14%.</t>
  </si>
  <si>
    <t>Elemen yang paling penting untuk diperhatikan dalam meningkatkan profit adalah elemen dengan nilai prioritas tertinggi yaitu Promosi dengan skala prioritas mencapai 21%.  Sedangkan elemen yang tidak terlalu genting untuk diperhatikan adalah Bentuk Fisik dikarenakan memiliki skala prioritas yang paling rendah sebesar 7%.</t>
  </si>
  <si>
    <t>Elemen yang paling penting untuk diperhatikan dalam meningkatkan kepuasan pelanggan adalah elemen dengan nilai prioritas tertinggi yaitu Produk dengan skala prioritas mencapai 22%. Sedangkan elemen yang tidak terlalu genting untuk diperhatikan adalah Proses dan Orang dikarenakan mereka memiliki skala prioritas yang paling rendah sebesar 10%.</t>
  </si>
  <si>
    <t>Elemen yang paling penting untuk diperhatikan dalam memaksimalkan volume penjualan adalah elemen dengan nilai prioritas tertinggi yaitu Promosi dengan skala prioritas mencapai 32%.  Sedangkan elemen yang tidak terlalu genting untuk diperhatikan adalah Tempat dikarenakan memiliki skala prioritas yang paling rendah sebesar 6%.</t>
  </si>
  <si>
    <t>Elemen yang paling penting untuk diperhatikan dalam menghadapi produk pesaing adalah elemen dengan nilai prioritas tertinggi yaitu Produk dengan skala prioritas mencapai 21%.  Sedangkan elemen yang tidak terlalu genting untuk diperhatikan adalah Harga dan Proses dikarenakan mereka memiliki skala prioritas yang paling rendah sebesar 9% masing-masingnya.</t>
  </si>
  <si>
    <t>Elemen yang paling penting untuk diperhatikan dalam meningkatkan pangsa pasar adalah elemen dengan nilai prioritas tertinggi yaitu Promosi dan Orang dengan skala prioritas mencapai 19% masing-masingnya.  Sedangkan elemen yang tidak terlalu genting untuk diperhatikan adalah Proses dikarenakan memiliki skala prioritas yang paling rendah sebesar 10%.</t>
  </si>
  <si>
    <t>Penjelasan tentang skala segitiga fuzzy</t>
  </si>
  <si>
    <t>Skala triangular fuzzy (TFN) dalam metode Fuzzy AHP adalah alat yang digunakan untuk mengatasi ketidakpastian dan ambiguitas dalam proses pengambilan keputusan. Skala ini memungkinkan penilaian yang lebih fleksibel dan realistis dibandingkan dengan skala numerik biasa. Dalam skala triangular fuzzy, setiap nilai diberikan sebagai rentang tiga angka (a, b, c) bukan satu angka tunggal. Angka-angka ini mewakili batas bawah (a), nilai yang paling mungkin atau tengah (b), dan batas atas (c) dari penilaian. Misalnya, jika kita menilai suatu alternatif dengan skala triangular fuzzy (3, 5, 7), ini berarti bahwa penilaian terendah yang mungkin adalah 3, penilaian yang paling mungkin adalah 5, dan penilaian tertinggi yang mungkin adalah 7. Metode Fuzzy AHP sendiri adalah metode yang menggabungkan Analytic Hierarchy Process (AHP) dan logika fuzzy. AHP adalah metode pengambilan keputusan yang melibatkan struktur hirarki, sementara logika fuzzy membantu mengatasi ketidakpastian dan ambiguitas. Metode Fuzzy AHP sendiri adalah metode yang menggabungkan Analytic Hierarchy Process (AHP) dan logika fuzzy. AHP adalah metode pengambilan keputusan yang melibatkan struktur hirarki, sementara logika fuzzy membantu mengatasi ketidakpastian dan ambiguitas. Jadi, dengan menggunakan skala triangular fuzzy dalam metode Fuzzy AHP, kita bisa membuat proses pengambilan keputusan yang lebih akurat dan realistis.</t>
  </si>
  <si>
    <t>Skala Segitiga Fuzzy</t>
  </si>
  <si>
    <t>Penjelasan tentang implementasi skala segitiga fuzzy</t>
  </si>
  <si>
    <t>Kita mengubah matriks perbandingan yang awalnya hanya menggunakan satu angka saja, menjadi sebuah interval atau rentang angka. Contoh jika pada tabel awal angkanya adalah 1, maka diubah menjadi (1,1,1), kemudian jika 3, maka diubah menjadi (2,3,4). Jika angka awal adalah angka genap seperti 2,4, dst, maka ambil interval yang lebih rendah. Contoh jika data awal adalah 2, angka 2 masuk dalam interval (2,3,4) maka diubah menjadi (2,3,4). Namun jika data awalnya adalah 4 di mana 4 masuk ke dalam interval (2,3,4) dan (4,5,6), maka diambil interval yang lebih rendah yaitu (2,3,4)</t>
  </si>
  <si>
    <t>Sub aksi</t>
  </si>
  <si>
    <t>Menetapkan harga di bawah harga pokok</t>
  </si>
  <si>
    <t>Dilihat dari vektor prioritasnya, ternyata melakukan riset pasar  memiliki tingkat kepentingan yang lebih besar, sehingga harus didahulukan untuk dilakukan.</t>
  </si>
  <si>
    <t>Dilihat dari vektor prioritasnya, ternyata memenuhi kebutuhan pelanggan memiliki tingkat kepentingan yang lebih besar, sehingga harus didahulukan untuk dilakukan.</t>
  </si>
  <si>
    <t>Dilihat dari vektor prioritasnya, ternyata kedua sub aksi memiliki tingkat kepentingan yang sama besarnya, sehingga kedua sub aksi harus dilakukan.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</si>
</sst>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6" x14ac:knownFonts="1">
    <font>
      <sz val="11"/>
      <color theme="1"/>
      <name val="Calibri"/>
      <family val="2"/>
      <charset val="1"/>
      <scheme val="minor"/>
    </font>
    <font>
      <sz val="11"/>
      <color theme="1"/>
      <name val="Times New Roman"/>
      <family val="1"/>
    </font>
    <font>
      <sz val="12"/>
      <color theme="1"/>
      <name val="Times New Roman"/>
      <family val="1"/>
    </font>
    <font>
      <i/>
      <sz val="11"/>
      <color theme="1"/>
      <name val="Times New Roman"/>
      <family val="1"/>
    </font>
    <font>
      <b/>
      <sz val="16"/>
      <color theme="1"/>
      <name val="Times New Roman"/>
      <family val="1"/>
    </font>
    <font>
      <b/>
      <sz val="12"/>
      <color theme="1"/>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1" fillId="0" borderId="1" xfId="0" applyFont="1" applyBorder="1" applyAlignment="1">
      <alignment horizontal="center" vertical="center"/>
    </xf>
    <xf numFmtId="0" fontId="2" fillId="0" borderId="0" xfId="0" applyFont="1" applyAlignment="1">
      <alignment wrapText="1"/>
    </xf>
    <xf numFmtId="0" fontId="4" fillId="0" borderId="0" xfId="0" applyFont="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vertical="center"/>
    </xf>
    <xf numFmtId="0" fontId="2" fillId="0" borderId="2" xfId="0" applyFont="1" applyBorder="1" applyAlignment="1">
      <alignment horizontal="justify" vertical="center"/>
    </xf>
    <xf numFmtId="0" fontId="5" fillId="0" borderId="1" xfId="0" applyFont="1" applyBorder="1" applyAlignment="1">
      <alignment horizontal="center" vertical="center"/>
    </xf>
    <xf numFmtId="0" fontId="1" fillId="0" borderId="1" xfId="0" applyFont="1" applyBorder="1"/>
    <xf numFmtId="0" fontId="1" fillId="0" borderId="0" xfId="0" applyFont="1" applyAlignment="1">
      <alignment horizontal="center" vertical="center"/>
    </xf>
    <xf numFmtId="0" fontId="2" fillId="0" borderId="0" xfId="0" applyFont="1" applyAlignment="1">
      <alignment horizontal="center" vertical="center"/>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2"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xf>
    <xf numFmtId="2" fontId="1" fillId="0" borderId="0" xfId="0" applyNumberFormat="1" applyFont="1" applyAlignment="1">
      <alignment horizontal="center" vertical="center"/>
    </xf>
    <xf numFmtId="0" fontId="5" fillId="0" borderId="0" xfId="0" applyFont="1" applyAlignment="1">
      <alignment horizontal="right" vertical="center"/>
    </xf>
    <xf numFmtId="165" fontId="2" fillId="0" borderId="0" xfId="0" applyNumberFormat="1" applyFont="1" applyAlignment="1">
      <alignment horizontal="center" vertical="center"/>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wrapText="1"/>
    </xf>
    <xf numFmtId="9" fontId="2" fillId="0" borderId="1" xfId="0" applyNumberFormat="1" applyFont="1" applyBorder="1" applyAlignment="1">
      <alignment wrapText="1"/>
    </xf>
    <xf numFmtId="9" fontId="2" fillId="0" borderId="1" xfId="0" applyNumberFormat="1" applyFont="1" applyBorder="1"/>
    <xf numFmtId="0" fontId="0" fillId="0" borderId="1" xfId="0" applyBorder="1"/>
    <xf numFmtId="0" fontId="0" fillId="0" borderId="1" xfId="0" applyBorder="1" applyAlignment="1">
      <alignment horizontal="center"/>
    </xf>
    <xf numFmtId="0" fontId="1" fillId="0" borderId="1" xfId="0" applyFont="1" applyBorder="1" applyAlignment="1">
      <alignment horizontal="center" vertical="center"/>
    </xf>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vertical="center"/>
    </xf>
    <xf numFmtId="0" fontId="2" fillId="0" borderId="3" xfId="0" applyFont="1" applyBorder="1" applyAlignment="1">
      <alignment horizontal="center" vertical="center" textRotation="90"/>
    </xf>
    <xf numFmtId="0" fontId="2" fillId="0" borderId="4" xfId="0" applyFont="1" applyBorder="1" applyAlignment="1">
      <alignment horizontal="center" vertical="center" textRotation="90"/>
    </xf>
    <xf numFmtId="0" fontId="2" fillId="0" borderId="5" xfId="0" applyFont="1" applyBorder="1" applyAlignment="1">
      <alignment horizontal="center" vertical="center" textRotation="90"/>
    </xf>
    <xf numFmtId="0" fontId="2" fillId="0" borderId="3" xfId="0" applyFont="1" applyBorder="1" applyAlignment="1">
      <alignment horizontal="center" vertical="center" textRotation="90" wrapText="1"/>
    </xf>
    <xf numFmtId="0" fontId="2" fillId="0" borderId="4" xfId="0" applyFont="1" applyBorder="1" applyAlignment="1">
      <alignment horizontal="center" vertical="center" textRotation="90" wrapText="1"/>
    </xf>
    <xf numFmtId="0" fontId="2" fillId="0" borderId="5" xfId="0" applyFont="1" applyBorder="1" applyAlignment="1">
      <alignment horizontal="center" vertical="center" textRotation="90" wrapText="1"/>
    </xf>
    <xf numFmtId="0" fontId="0" fillId="0" borderId="1" xfId="0" applyBorder="1" applyAlignment="1">
      <alignment horizontal="center"/>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21166</xdr:rowOff>
    </xdr:from>
    <xdr:to>
      <xdr:col>1</xdr:col>
      <xdr:colOff>624417</xdr:colOff>
      <xdr:row>19</xdr:row>
      <xdr:rowOff>165048</xdr:rowOff>
    </xdr:to>
    <xdr:pic>
      <xdr:nvPicPr>
        <xdr:cNvPr id="3" name="Picture 2">
          <a:extLst>
            <a:ext uri="{FF2B5EF4-FFF2-40B4-BE49-F238E27FC236}">
              <a16:creationId xmlns:a16="http://schemas.microsoft.com/office/drawing/2014/main" id="{B684B3D5-2385-3860-B2AC-3C831EB3CF24}"/>
            </a:ext>
          </a:extLst>
        </xdr:cNvPr>
        <xdr:cNvPicPr>
          <a:picLocks noChangeAspect="1"/>
        </xdr:cNvPicPr>
      </xdr:nvPicPr>
      <xdr:blipFill>
        <a:blip xmlns:r="http://schemas.openxmlformats.org/officeDocument/2006/relationships" r:embed="rId1"/>
        <a:stretch>
          <a:fillRect/>
        </a:stretch>
      </xdr:blipFill>
      <xdr:spPr>
        <a:xfrm>
          <a:off x="0" y="2825749"/>
          <a:ext cx="2730500" cy="1149299"/>
        </a:xfrm>
        <a:prstGeom prst="rect">
          <a:avLst/>
        </a:prstGeom>
      </xdr:spPr>
    </xdr:pic>
    <xdr:clientData/>
  </xdr:twoCellAnchor>
  <xdr:oneCellAnchor>
    <xdr:from>
      <xdr:col>0</xdr:col>
      <xdr:colOff>1405468</xdr:colOff>
      <xdr:row>31</xdr:row>
      <xdr:rowOff>24342</xdr:rowOff>
    </xdr:from>
    <xdr:ext cx="361950" cy="18732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423E46C-A16B-5C0F-0E99-062C34A84CBE}"/>
                </a:ext>
              </a:extLst>
            </xdr:cNvPr>
            <xdr:cNvSpPr txBox="1"/>
          </xdr:nvSpPr>
          <xdr:spPr>
            <a:xfrm>
              <a:off x="1405468" y="6427259"/>
              <a:ext cx="361950" cy="187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id-ID" sz="1100" i="1">
                        <a:latin typeface="Cambria Math" panose="02040503050406030204" pitchFamily="18" charset="0"/>
                        <a:ea typeface="Cambria Math" panose="02040503050406030204" pitchFamily="18" charset="0"/>
                      </a:rPr>
                      <m:t>𝜆</m:t>
                    </m:r>
                  </m:oMath>
                </m:oMathPara>
              </a14:m>
              <a:endParaRPr lang="id-ID" sz="1100"/>
            </a:p>
          </xdr:txBody>
        </xdr:sp>
      </mc:Choice>
      <mc:Fallback xmlns="">
        <xdr:sp macro="" textlink="">
          <xdr:nvSpPr>
            <xdr:cNvPr id="4" name="TextBox 3">
              <a:extLst>
                <a:ext uri="{FF2B5EF4-FFF2-40B4-BE49-F238E27FC236}">
                  <a16:creationId xmlns:a16="http://schemas.microsoft.com/office/drawing/2014/main" id="{D423E46C-A16B-5C0F-0E99-062C34A84CBE}"/>
                </a:ext>
              </a:extLst>
            </xdr:cNvPr>
            <xdr:cNvSpPr txBox="1"/>
          </xdr:nvSpPr>
          <xdr:spPr>
            <a:xfrm>
              <a:off x="1405468" y="6427259"/>
              <a:ext cx="361950" cy="187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id-ID" sz="1100" i="0">
                  <a:latin typeface="Cambria Math" panose="02040503050406030204" pitchFamily="18" charset="0"/>
                  <a:ea typeface="Cambria Math" panose="02040503050406030204" pitchFamily="18" charset="0"/>
                </a:rPr>
                <a:t>𝜆</a:t>
              </a:r>
              <a:endParaRPr lang="id-ID"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19050</xdr:rowOff>
    </xdr:from>
    <xdr:to>
      <xdr:col>9</xdr:col>
      <xdr:colOff>19050</xdr:colOff>
      <xdr:row>54</xdr:row>
      <xdr:rowOff>173680</xdr:rowOff>
    </xdr:to>
    <xdr:pic>
      <xdr:nvPicPr>
        <xdr:cNvPr id="2" name="Picture 1">
          <a:extLst>
            <a:ext uri="{FF2B5EF4-FFF2-40B4-BE49-F238E27FC236}">
              <a16:creationId xmlns:a16="http://schemas.microsoft.com/office/drawing/2014/main" id="{10C695B2-E706-C4F3-606D-783B8A4CAB3C}"/>
            </a:ext>
          </a:extLst>
        </xdr:cNvPr>
        <xdr:cNvPicPr>
          <a:picLocks noChangeAspect="1"/>
        </xdr:cNvPicPr>
      </xdr:nvPicPr>
      <xdr:blipFill>
        <a:blip xmlns:r="http://schemas.openxmlformats.org/officeDocument/2006/relationships" r:embed="rId1"/>
        <a:stretch>
          <a:fillRect/>
        </a:stretch>
      </xdr:blipFill>
      <xdr:spPr>
        <a:xfrm>
          <a:off x="0" y="7791450"/>
          <a:ext cx="8191500" cy="3355029"/>
        </a:xfrm>
        <a:prstGeom prst="rect">
          <a:avLst/>
        </a:prstGeom>
      </xdr:spPr>
    </xdr:pic>
    <xdr:clientData/>
  </xdr:twoCellAnchor>
  <xdr:twoCellAnchor editAs="oneCell">
    <xdr:from>
      <xdr:col>33</xdr:col>
      <xdr:colOff>628650</xdr:colOff>
      <xdr:row>1</xdr:row>
      <xdr:rowOff>31750</xdr:rowOff>
    </xdr:from>
    <xdr:to>
      <xdr:col>38</xdr:col>
      <xdr:colOff>597063</xdr:colOff>
      <xdr:row>9</xdr:row>
      <xdr:rowOff>50888</xdr:rowOff>
    </xdr:to>
    <xdr:pic>
      <xdr:nvPicPr>
        <xdr:cNvPr id="3" name="Picture 2">
          <a:extLst>
            <a:ext uri="{FF2B5EF4-FFF2-40B4-BE49-F238E27FC236}">
              <a16:creationId xmlns:a16="http://schemas.microsoft.com/office/drawing/2014/main" id="{402597A9-669C-DE43-E4CD-AF63C9277EB1}"/>
            </a:ext>
          </a:extLst>
        </xdr:cNvPr>
        <xdr:cNvPicPr>
          <a:picLocks noChangeAspect="1"/>
        </xdr:cNvPicPr>
      </xdr:nvPicPr>
      <xdr:blipFill>
        <a:blip xmlns:r="http://schemas.openxmlformats.org/officeDocument/2006/relationships" r:embed="rId2"/>
        <a:stretch>
          <a:fillRect/>
        </a:stretch>
      </xdr:blipFill>
      <xdr:spPr>
        <a:xfrm>
          <a:off x="32867600" y="285750"/>
          <a:ext cx="3175163" cy="1708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4ED2-86ED-4761-8E1F-4243061BB81C}">
  <dimension ref="A1:J110"/>
  <sheetViews>
    <sheetView topLeftCell="A87" zoomScale="66" zoomScaleNormal="90" workbookViewId="0">
      <selection activeCell="A95" sqref="A95:E110"/>
    </sheetView>
  </sheetViews>
  <sheetFormatPr defaultColWidth="9.1796875" defaultRowHeight="14" x14ac:dyDescent="0.35"/>
  <cols>
    <col min="1" max="1" width="31.54296875" style="11" customWidth="1"/>
    <col min="2" max="2" width="29.1796875" style="11" customWidth="1"/>
    <col min="3" max="3" width="26" style="11" customWidth="1"/>
    <col min="4" max="4" width="27.54296875" style="11" customWidth="1"/>
    <col min="5" max="5" width="36.6328125" style="11" customWidth="1"/>
    <col min="6" max="6" width="30" style="11" customWidth="1"/>
    <col min="7" max="7" width="23.81640625" style="11" customWidth="1"/>
    <col min="8" max="8" width="22.54296875" style="11" customWidth="1"/>
    <col min="9" max="9" width="17.81640625" style="11" customWidth="1"/>
    <col min="10" max="10" width="17.7265625" style="11" customWidth="1"/>
    <col min="11" max="16384" width="9.1796875" style="11"/>
  </cols>
  <sheetData>
    <row r="1" spans="1:8" x14ac:dyDescent="0.35">
      <c r="A1" s="11" t="s">
        <v>55</v>
      </c>
    </row>
    <row r="2" spans="1:8" ht="15.5" x14ac:dyDescent="0.35">
      <c r="A2" s="12" t="s">
        <v>56</v>
      </c>
      <c r="B2" s="12"/>
      <c r="C2" s="12"/>
      <c r="D2" s="12"/>
      <c r="E2" s="12"/>
      <c r="F2" s="12"/>
      <c r="G2" s="12"/>
      <c r="H2" s="12"/>
    </row>
    <row r="3" spans="1:8" ht="15.5" x14ac:dyDescent="0.35">
      <c r="A3" s="7" t="s">
        <v>48</v>
      </c>
      <c r="B3" s="7" t="s">
        <v>49</v>
      </c>
      <c r="C3" s="7" t="s">
        <v>50</v>
      </c>
      <c r="D3" s="7" t="s">
        <v>51</v>
      </c>
      <c r="E3" s="7" t="s">
        <v>52</v>
      </c>
      <c r="F3" s="7" t="s">
        <v>53</v>
      </c>
      <c r="G3" s="7" t="s">
        <v>54</v>
      </c>
      <c r="H3" s="7" t="s">
        <v>68</v>
      </c>
    </row>
    <row r="4" spans="1:8" ht="15.5" x14ac:dyDescent="0.35">
      <c r="A4" s="7" t="s">
        <v>49</v>
      </c>
      <c r="B4" s="15">
        <v>1</v>
      </c>
      <c r="C4" s="13">
        <v>1</v>
      </c>
      <c r="D4" s="13">
        <v>2</v>
      </c>
      <c r="E4" s="13">
        <v>1</v>
      </c>
      <c r="F4" s="13">
        <v>3</v>
      </c>
      <c r="G4" s="13">
        <v>3</v>
      </c>
      <c r="H4" s="13">
        <v>1</v>
      </c>
    </row>
    <row r="5" spans="1:8" ht="15.5" x14ac:dyDescent="0.35">
      <c r="A5" s="7" t="s">
        <v>50</v>
      </c>
      <c r="B5" s="13">
        <v>1</v>
      </c>
      <c r="C5" s="15">
        <v>1</v>
      </c>
      <c r="D5" s="13">
        <v>2</v>
      </c>
      <c r="E5" s="13">
        <v>1</v>
      </c>
      <c r="F5" s="13">
        <v>5</v>
      </c>
      <c r="G5" s="13">
        <v>5</v>
      </c>
      <c r="H5" s="13">
        <v>3</v>
      </c>
    </row>
    <row r="6" spans="1:8" ht="15.5" x14ac:dyDescent="0.35">
      <c r="A6" s="7" t="s">
        <v>51</v>
      </c>
      <c r="B6" s="13">
        <f>1/2</f>
        <v>0.5</v>
      </c>
      <c r="C6" s="13">
        <f>1/2</f>
        <v>0.5</v>
      </c>
      <c r="D6" s="15">
        <v>1</v>
      </c>
      <c r="E6" s="13">
        <v>3</v>
      </c>
      <c r="F6" s="13">
        <v>3</v>
      </c>
      <c r="G6" s="13">
        <v>1</v>
      </c>
      <c r="H6" s="13">
        <v>3</v>
      </c>
    </row>
    <row r="7" spans="1:8" ht="15.5" x14ac:dyDescent="0.35">
      <c r="A7" s="7" t="s">
        <v>52</v>
      </c>
      <c r="B7" s="13">
        <v>1</v>
      </c>
      <c r="C7" s="13">
        <v>1</v>
      </c>
      <c r="D7" s="13">
        <f>1/3</f>
        <v>0.33333333333333331</v>
      </c>
      <c r="E7" s="15">
        <v>1</v>
      </c>
      <c r="F7" s="13">
        <v>1</v>
      </c>
      <c r="G7" s="13">
        <v>3</v>
      </c>
      <c r="H7" s="13">
        <v>3</v>
      </c>
    </row>
    <row r="8" spans="1:8" ht="15.5" x14ac:dyDescent="0.35">
      <c r="A8" s="7" t="s">
        <v>53</v>
      </c>
      <c r="B8" s="13">
        <f>1/3</f>
        <v>0.33333333333333331</v>
      </c>
      <c r="C8" s="13">
        <f>1/5</f>
        <v>0.2</v>
      </c>
      <c r="D8" s="13">
        <f>1/3</f>
        <v>0.33333333333333331</v>
      </c>
      <c r="E8" s="13">
        <v>1</v>
      </c>
      <c r="F8" s="15">
        <v>1</v>
      </c>
      <c r="G8" s="13">
        <v>1</v>
      </c>
      <c r="H8" s="13">
        <f>1/2</f>
        <v>0.5</v>
      </c>
    </row>
    <row r="9" spans="1:8" ht="15.5" x14ac:dyDescent="0.35">
      <c r="A9" s="7" t="s">
        <v>54</v>
      </c>
      <c r="B9" s="13">
        <f>1/3</f>
        <v>0.33333333333333331</v>
      </c>
      <c r="C9" s="13">
        <f>1/5</f>
        <v>0.2</v>
      </c>
      <c r="D9" s="13">
        <v>1</v>
      </c>
      <c r="E9" s="13">
        <f>1/3</f>
        <v>0.33333333333333331</v>
      </c>
      <c r="F9" s="13">
        <v>1</v>
      </c>
      <c r="G9" s="15">
        <v>1</v>
      </c>
      <c r="H9" s="13">
        <f>1/2</f>
        <v>0.5</v>
      </c>
    </row>
    <row r="10" spans="1:8" ht="15.5" x14ac:dyDescent="0.35">
      <c r="A10" s="7" t="s">
        <v>68</v>
      </c>
      <c r="B10" s="13">
        <v>1</v>
      </c>
      <c r="C10" s="13">
        <f>1/3</f>
        <v>0.33333333333333331</v>
      </c>
      <c r="D10" s="13">
        <f>1/3</f>
        <v>0.33333333333333331</v>
      </c>
      <c r="E10" s="13">
        <f>1/3</f>
        <v>0.33333333333333331</v>
      </c>
      <c r="F10" s="13">
        <v>2</v>
      </c>
      <c r="G10" s="13">
        <v>2</v>
      </c>
      <c r="H10" s="15">
        <v>1</v>
      </c>
    </row>
    <row r="11" spans="1:8" ht="15.5" x14ac:dyDescent="0.35">
      <c r="A11" s="7" t="s">
        <v>57</v>
      </c>
      <c r="B11" s="13">
        <f>SUM(B4:B10)</f>
        <v>5.166666666666667</v>
      </c>
      <c r="C11" s="14">
        <f>SUM(C4:C10)</f>
        <v>4.2333333333333334</v>
      </c>
      <c r="D11" s="14">
        <f t="shared" ref="D11:H11" si="0">SUM(D4:D10)</f>
        <v>6.9999999999999991</v>
      </c>
      <c r="E11" s="14">
        <f t="shared" si="0"/>
        <v>7.6666666666666661</v>
      </c>
      <c r="F11" s="7">
        <f t="shared" si="0"/>
        <v>16</v>
      </c>
      <c r="G11" s="7">
        <f t="shared" si="0"/>
        <v>16</v>
      </c>
      <c r="H11" s="7">
        <f t="shared" si="0"/>
        <v>12</v>
      </c>
    </row>
    <row r="12" spans="1:8" ht="15.5" x14ac:dyDescent="0.35">
      <c r="A12" s="12"/>
      <c r="B12" s="16"/>
      <c r="C12" s="17"/>
      <c r="D12" s="17"/>
      <c r="E12" s="17"/>
      <c r="F12" s="12"/>
      <c r="G12" s="12"/>
      <c r="H12" s="12"/>
    </row>
    <row r="13" spans="1:8" ht="15.5" x14ac:dyDescent="0.35">
      <c r="A13" s="12" t="s">
        <v>58</v>
      </c>
      <c r="B13" s="16"/>
      <c r="C13" s="17"/>
      <c r="D13" s="17"/>
      <c r="E13" s="17"/>
      <c r="F13" s="12"/>
      <c r="G13" s="12"/>
      <c r="H13" s="12"/>
    </row>
    <row r="14" spans="1:8" ht="15.5" x14ac:dyDescent="0.35">
      <c r="A14" s="12" t="s">
        <v>59</v>
      </c>
      <c r="B14" s="16"/>
      <c r="C14" s="17"/>
      <c r="D14" s="17"/>
      <c r="E14" s="17"/>
      <c r="F14" s="12"/>
      <c r="G14" s="12"/>
      <c r="H14" s="12"/>
    </row>
    <row r="15" spans="1:8" ht="15.5" x14ac:dyDescent="0.35">
      <c r="A15" s="12"/>
      <c r="B15" s="16"/>
      <c r="C15" s="17"/>
      <c r="D15" s="17"/>
      <c r="E15" s="17"/>
      <c r="F15" s="12"/>
      <c r="G15" s="12"/>
      <c r="H15" s="12"/>
    </row>
    <row r="16" spans="1:8" ht="15.5" x14ac:dyDescent="0.35">
      <c r="A16" s="12"/>
      <c r="B16" s="16"/>
      <c r="C16" s="22">
        <f>1/3</f>
        <v>0.33333333333333331</v>
      </c>
      <c r="D16" s="17"/>
      <c r="E16" s="17"/>
      <c r="F16" s="12"/>
      <c r="G16" s="12"/>
      <c r="H16" s="12"/>
    </row>
    <row r="17" spans="1:10" ht="15.5" x14ac:dyDescent="0.35">
      <c r="A17" s="12"/>
      <c r="B17" s="16"/>
      <c r="C17" s="17"/>
      <c r="D17" s="17"/>
      <c r="E17" s="17"/>
      <c r="F17" s="12"/>
      <c r="G17" s="12"/>
      <c r="H17" s="12"/>
    </row>
    <row r="18" spans="1:10" ht="15.5" x14ac:dyDescent="0.35">
      <c r="A18" s="12"/>
      <c r="B18" s="16"/>
      <c r="C18" s="17">
        <f>2/3</f>
        <v>0.66666666666666663</v>
      </c>
      <c r="D18" s="17"/>
      <c r="E18" s="17"/>
      <c r="F18" s="12"/>
      <c r="G18" s="12"/>
      <c r="H18" s="12"/>
    </row>
    <row r="19" spans="1:10" ht="15.5" x14ac:dyDescent="0.35">
      <c r="A19" s="12"/>
      <c r="B19" s="16"/>
      <c r="C19" s="17"/>
      <c r="D19" s="17"/>
      <c r="E19" s="17"/>
      <c r="F19" s="12"/>
      <c r="G19" s="12"/>
      <c r="H19" s="12"/>
    </row>
    <row r="20" spans="1:10" ht="15.5" x14ac:dyDescent="0.35">
      <c r="A20" s="12"/>
      <c r="B20" s="16"/>
      <c r="C20" s="17"/>
      <c r="D20" s="17"/>
      <c r="E20" s="17"/>
      <c r="F20" s="12"/>
      <c r="G20" s="12"/>
      <c r="H20" s="12"/>
    </row>
    <row r="21" spans="1:10" ht="15.5" x14ac:dyDescent="0.35">
      <c r="A21" s="12" t="s">
        <v>62</v>
      </c>
      <c r="B21" s="16"/>
      <c r="C21" s="17"/>
      <c r="D21" s="17"/>
      <c r="E21" s="17"/>
      <c r="F21" s="12"/>
      <c r="G21" s="12"/>
      <c r="H21" s="12"/>
    </row>
    <row r="22" spans="1:10" ht="28" x14ac:dyDescent="0.35">
      <c r="A22" s="7" t="s">
        <v>48</v>
      </c>
      <c r="B22" s="7" t="s">
        <v>49</v>
      </c>
      <c r="C22" s="7" t="s">
        <v>50</v>
      </c>
      <c r="D22" s="7" t="s">
        <v>51</v>
      </c>
      <c r="E22" s="7" t="s">
        <v>52</v>
      </c>
      <c r="F22" s="7" t="s">
        <v>53</v>
      </c>
      <c r="G22" s="7" t="s">
        <v>54</v>
      </c>
      <c r="H22" s="7" t="s">
        <v>50</v>
      </c>
      <c r="I22" s="3" t="s">
        <v>60</v>
      </c>
      <c r="J22" s="18" t="s">
        <v>61</v>
      </c>
    </row>
    <row r="23" spans="1:10" ht="15.5" x14ac:dyDescent="0.35">
      <c r="A23" s="7" t="s">
        <v>49</v>
      </c>
      <c r="B23" s="13">
        <f>B4/$B$11</f>
        <v>0.19354838709677419</v>
      </c>
      <c r="C23" s="13">
        <f>C4/$C$11</f>
        <v>0.23622047244094488</v>
      </c>
      <c r="D23" s="13">
        <f>D4/$D$11</f>
        <v>0.28571428571428575</v>
      </c>
      <c r="E23" s="13">
        <f>E4/$E$11</f>
        <v>0.13043478260869565</v>
      </c>
      <c r="F23" s="13">
        <f>F4/$F$11</f>
        <v>0.1875</v>
      </c>
      <c r="G23" s="13">
        <f>G4/$G$11</f>
        <v>0.1875</v>
      </c>
      <c r="H23" s="13">
        <f>H4/$H$11</f>
        <v>8.3333333333333329E-2</v>
      </c>
      <c r="I23" s="19">
        <f>B23+C23+D23+E23+F23+G23+H23</f>
        <v>1.3042512611940336</v>
      </c>
      <c r="J23" s="19">
        <f>I23/$I$30</f>
        <v>0.18632160874200479</v>
      </c>
    </row>
    <row r="24" spans="1:10" ht="15.5" x14ac:dyDescent="0.35">
      <c r="A24" s="7" t="s">
        <v>50</v>
      </c>
      <c r="B24" s="13">
        <f>B5/$B$11</f>
        <v>0.19354838709677419</v>
      </c>
      <c r="C24" s="13">
        <f t="shared" ref="C24:C29" si="1">C5/$C$11</f>
        <v>0.23622047244094488</v>
      </c>
      <c r="D24" s="13">
        <f t="shared" ref="D24:D29" si="2">D5/$D$11</f>
        <v>0.28571428571428575</v>
      </c>
      <c r="E24" s="13">
        <f t="shared" ref="E24:E29" si="3">E5/$E$11</f>
        <v>0.13043478260869565</v>
      </c>
      <c r="F24" s="13">
        <f t="shared" ref="F24:F29" si="4">F5/$F$11</f>
        <v>0.3125</v>
      </c>
      <c r="G24" s="13">
        <f t="shared" ref="G24:G29" si="5">G5/$G$11</f>
        <v>0.3125</v>
      </c>
      <c r="H24" s="13">
        <f t="shared" ref="H24:H29" si="6">H5/$H$11</f>
        <v>0.25</v>
      </c>
      <c r="I24" s="19">
        <f t="shared" ref="I24:I30" si="7">B24+C24+D24+E24+F24+G24+H24</f>
        <v>1.7209179278607003</v>
      </c>
      <c r="J24" s="19">
        <f t="shared" ref="J24:J28" si="8">I24/$I$30</f>
        <v>0.24584541826581432</v>
      </c>
    </row>
    <row r="25" spans="1:10" ht="15.5" x14ac:dyDescent="0.35">
      <c r="A25" s="7" t="s">
        <v>51</v>
      </c>
      <c r="B25" s="13">
        <f t="shared" ref="B25:B29" si="9">B6/$B$11</f>
        <v>9.6774193548387094E-2</v>
      </c>
      <c r="C25" s="13">
        <f t="shared" si="1"/>
        <v>0.11811023622047244</v>
      </c>
      <c r="D25" s="13">
        <f t="shared" si="2"/>
        <v>0.14285714285714288</v>
      </c>
      <c r="E25" s="13">
        <f t="shared" si="3"/>
        <v>0.39130434782608697</v>
      </c>
      <c r="F25" s="13">
        <f t="shared" si="4"/>
        <v>0.1875</v>
      </c>
      <c r="G25" s="13">
        <f t="shared" si="5"/>
        <v>6.25E-2</v>
      </c>
      <c r="H25" s="13">
        <f t="shared" si="6"/>
        <v>0.25</v>
      </c>
      <c r="I25" s="19">
        <f t="shared" si="7"/>
        <v>1.2490459204520894</v>
      </c>
      <c r="J25" s="19">
        <f t="shared" si="8"/>
        <v>0.17843513149315562</v>
      </c>
    </row>
    <row r="26" spans="1:10" ht="15.5" x14ac:dyDescent="0.35">
      <c r="A26" s="7" t="s">
        <v>52</v>
      </c>
      <c r="B26" s="13">
        <f>B7/$B$11</f>
        <v>0.19354838709677419</v>
      </c>
      <c r="C26" s="13">
        <f t="shared" si="1"/>
        <v>0.23622047244094488</v>
      </c>
      <c r="D26" s="13">
        <f t="shared" si="2"/>
        <v>4.7619047619047623E-2</v>
      </c>
      <c r="E26" s="13">
        <f t="shared" si="3"/>
        <v>0.13043478260869565</v>
      </c>
      <c r="F26" s="13">
        <f t="shared" si="4"/>
        <v>6.25E-2</v>
      </c>
      <c r="G26" s="13">
        <f t="shared" si="5"/>
        <v>0.1875</v>
      </c>
      <c r="H26" s="13">
        <f t="shared" si="6"/>
        <v>0.25</v>
      </c>
      <c r="I26" s="19">
        <f t="shared" si="7"/>
        <v>1.1078226897654622</v>
      </c>
      <c r="J26" s="19">
        <f t="shared" si="8"/>
        <v>0.15826038425220887</v>
      </c>
    </row>
    <row r="27" spans="1:10" ht="15.5" x14ac:dyDescent="0.35">
      <c r="A27" s="7" t="s">
        <v>53</v>
      </c>
      <c r="B27" s="13">
        <f t="shared" si="9"/>
        <v>6.4516129032258063E-2</v>
      </c>
      <c r="C27" s="13">
        <f t="shared" si="1"/>
        <v>4.7244094488188976E-2</v>
      </c>
      <c r="D27" s="13">
        <f t="shared" si="2"/>
        <v>4.7619047619047623E-2</v>
      </c>
      <c r="E27" s="13">
        <f t="shared" si="3"/>
        <v>0.13043478260869565</v>
      </c>
      <c r="F27" s="13">
        <f t="shared" si="4"/>
        <v>6.25E-2</v>
      </c>
      <c r="G27" s="13">
        <f t="shared" si="5"/>
        <v>6.25E-2</v>
      </c>
      <c r="H27" s="13">
        <f t="shared" si="6"/>
        <v>4.1666666666666664E-2</v>
      </c>
      <c r="I27" s="19">
        <f t="shared" si="7"/>
        <v>0.45648072041485699</v>
      </c>
      <c r="J27" s="19">
        <f t="shared" si="8"/>
        <v>6.5211531487836719E-2</v>
      </c>
    </row>
    <row r="28" spans="1:10" ht="15.5" x14ac:dyDescent="0.35">
      <c r="A28" s="7" t="s">
        <v>54</v>
      </c>
      <c r="B28" s="13">
        <f t="shared" si="9"/>
        <v>6.4516129032258063E-2</v>
      </c>
      <c r="C28" s="13">
        <f t="shared" si="1"/>
        <v>4.7244094488188976E-2</v>
      </c>
      <c r="D28" s="13">
        <f t="shared" si="2"/>
        <v>0.14285714285714288</v>
      </c>
      <c r="E28" s="13">
        <f t="shared" si="3"/>
        <v>4.3478260869565216E-2</v>
      </c>
      <c r="F28" s="13">
        <f t="shared" si="4"/>
        <v>6.25E-2</v>
      </c>
      <c r="G28" s="13">
        <f t="shared" si="5"/>
        <v>6.25E-2</v>
      </c>
      <c r="H28" s="13">
        <f t="shared" si="6"/>
        <v>4.1666666666666664E-2</v>
      </c>
      <c r="I28" s="19">
        <f t="shared" si="7"/>
        <v>0.46476229391382179</v>
      </c>
      <c r="J28" s="19">
        <f t="shared" si="8"/>
        <v>6.6394613416260254E-2</v>
      </c>
    </row>
    <row r="29" spans="1:10" ht="15.5" x14ac:dyDescent="0.35">
      <c r="A29" s="7" t="s">
        <v>50</v>
      </c>
      <c r="B29" s="13">
        <f t="shared" si="9"/>
        <v>0.19354838709677419</v>
      </c>
      <c r="C29" s="13">
        <f t="shared" si="1"/>
        <v>7.874015748031496E-2</v>
      </c>
      <c r="D29" s="13">
        <f t="shared" si="2"/>
        <v>4.7619047619047623E-2</v>
      </c>
      <c r="E29" s="13">
        <f t="shared" si="3"/>
        <v>4.3478260869565216E-2</v>
      </c>
      <c r="F29" s="13">
        <f t="shared" si="4"/>
        <v>0.125</v>
      </c>
      <c r="G29" s="13">
        <f t="shared" si="5"/>
        <v>0.125</v>
      </c>
      <c r="H29" s="13">
        <f t="shared" si="6"/>
        <v>8.3333333333333329E-2</v>
      </c>
      <c r="I29" s="19">
        <f t="shared" si="7"/>
        <v>0.69671918639903541</v>
      </c>
      <c r="J29" s="19">
        <f>I29/$I$30</f>
        <v>9.953131234271935E-2</v>
      </c>
    </row>
    <row r="30" spans="1:10" ht="15.5" x14ac:dyDescent="0.35">
      <c r="A30" s="7" t="s">
        <v>57</v>
      </c>
      <c r="B30" s="13">
        <f>SUM(B23:B29)</f>
        <v>1</v>
      </c>
      <c r="C30" s="13">
        <f t="shared" ref="C30:G30" si="10">SUM(C23:C29)</f>
        <v>1</v>
      </c>
      <c r="D30" s="13">
        <f t="shared" si="10"/>
        <v>1.0000000000000002</v>
      </c>
      <c r="E30" s="13">
        <f t="shared" si="10"/>
        <v>1</v>
      </c>
      <c r="F30" s="13">
        <f t="shared" si="10"/>
        <v>1</v>
      </c>
      <c r="G30" s="13">
        <f t="shared" si="10"/>
        <v>1</v>
      </c>
      <c r="H30" s="13">
        <f>SUM(H23:H29)</f>
        <v>0.99999999999999989</v>
      </c>
      <c r="I30" s="19">
        <f t="shared" si="7"/>
        <v>7</v>
      </c>
      <c r="J30" s="19">
        <f>SUM(J23:J29)</f>
        <v>1</v>
      </c>
    </row>
    <row r="31" spans="1:10" ht="15.5" x14ac:dyDescent="0.35">
      <c r="A31" s="12" t="s">
        <v>63</v>
      </c>
      <c r="B31" s="16"/>
      <c r="C31" s="16"/>
      <c r="D31" s="16"/>
      <c r="E31" s="16"/>
      <c r="F31" s="16"/>
      <c r="G31" s="16"/>
      <c r="H31" s="16"/>
      <c r="I31" s="20"/>
      <c r="J31" s="20"/>
    </row>
    <row r="32" spans="1:10" ht="15.5" x14ac:dyDescent="0.35">
      <c r="A32" s="21" t="s">
        <v>64</v>
      </c>
      <c r="B32" s="16">
        <f>(B11*J23)+(C11*J24)+(D11*J25)+(E11*J26)+(F11*J27)+(G11*J28)+(H11*J29)</f>
        <v>7.7658568487895128</v>
      </c>
      <c r="C32" s="16"/>
      <c r="D32" s="16"/>
      <c r="E32" s="16"/>
      <c r="F32" s="16"/>
      <c r="G32" s="16"/>
      <c r="H32" s="16"/>
      <c r="I32" s="20"/>
      <c r="J32" s="20"/>
    </row>
    <row r="33" spans="1:10" ht="15.5" x14ac:dyDescent="0.35">
      <c r="A33" s="21" t="s">
        <v>65</v>
      </c>
      <c r="B33" s="16">
        <f>(B32-7)/(7-1)</f>
        <v>0.12764280813158546</v>
      </c>
      <c r="C33" s="16"/>
      <c r="D33" s="16"/>
      <c r="E33" s="16"/>
      <c r="F33" s="16"/>
      <c r="G33" s="16"/>
      <c r="H33" s="16"/>
      <c r="I33" s="20"/>
      <c r="J33" s="20"/>
    </row>
    <row r="34" spans="1:10" ht="15.5" x14ac:dyDescent="0.35">
      <c r="A34" s="21" t="s">
        <v>66</v>
      </c>
      <c r="B34" s="16">
        <f>B33/B32</f>
        <v>1.6436410124078135E-2</v>
      </c>
      <c r="C34" s="16"/>
      <c r="D34" s="16"/>
      <c r="E34" s="16"/>
      <c r="F34" s="16"/>
      <c r="G34" s="16"/>
      <c r="H34" s="16"/>
      <c r="I34" s="20"/>
      <c r="J34" s="20"/>
    </row>
    <row r="35" spans="1:10" ht="15.5" x14ac:dyDescent="0.35">
      <c r="A35" s="12" t="s">
        <v>67</v>
      </c>
      <c r="B35" s="16"/>
      <c r="C35" s="16"/>
      <c r="D35" s="16"/>
      <c r="E35" s="16"/>
      <c r="F35" s="16"/>
      <c r="G35" s="16"/>
      <c r="H35" s="16"/>
      <c r="I35" s="20"/>
      <c r="J35" s="20"/>
    </row>
    <row r="37" spans="1:10" ht="15.5" x14ac:dyDescent="0.35">
      <c r="A37" s="32" t="s">
        <v>79</v>
      </c>
      <c r="B37" s="32"/>
      <c r="C37" s="32"/>
    </row>
    <row r="38" spans="1:10" ht="15.5" x14ac:dyDescent="0.35">
      <c r="A38" s="3"/>
      <c r="B38" s="7" t="s">
        <v>13</v>
      </c>
      <c r="C38" s="3" t="s">
        <v>15</v>
      </c>
      <c r="D38" s="3" t="s">
        <v>80</v>
      </c>
      <c r="E38" s="7" t="s">
        <v>16</v>
      </c>
      <c r="F38" s="3" t="s">
        <v>81</v>
      </c>
    </row>
    <row r="39" spans="1:10" ht="15.5" x14ac:dyDescent="0.35">
      <c r="A39" s="7" t="s">
        <v>13</v>
      </c>
      <c r="B39" s="3">
        <v>1</v>
      </c>
      <c r="C39" s="3">
        <v>1</v>
      </c>
      <c r="D39" s="3">
        <v>2</v>
      </c>
      <c r="E39" s="3">
        <v>1</v>
      </c>
      <c r="F39" s="3">
        <v>1</v>
      </c>
    </row>
    <row r="40" spans="1:10" x14ac:dyDescent="0.35">
      <c r="A40" s="3" t="s">
        <v>15</v>
      </c>
      <c r="B40" s="3">
        <f>1/C39</f>
        <v>1</v>
      </c>
      <c r="C40" s="3">
        <v>1</v>
      </c>
      <c r="D40" s="3">
        <f>1/5</f>
        <v>0.2</v>
      </c>
      <c r="E40" s="3">
        <v>1</v>
      </c>
      <c r="F40" s="3">
        <v>1</v>
      </c>
    </row>
    <row r="41" spans="1:10" x14ac:dyDescent="0.35">
      <c r="A41" s="3" t="s">
        <v>80</v>
      </c>
      <c r="B41" s="3">
        <f>1/D39</f>
        <v>0.5</v>
      </c>
      <c r="C41" s="3">
        <f>1/D40</f>
        <v>5</v>
      </c>
      <c r="D41" s="3">
        <v>1</v>
      </c>
      <c r="E41" s="3">
        <v>2</v>
      </c>
      <c r="F41" s="3">
        <v>1</v>
      </c>
    </row>
    <row r="42" spans="1:10" ht="15.5" x14ac:dyDescent="0.35">
      <c r="A42" s="7" t="s">
        <v>16</v>
      </c>
      <c r="B42" s="3">
        <f>1/E39</f>
        <v>1</v>
      </c>
      <c r="C42" s="3">
        <f>1/E40</f>
        <v>1</v>
      </c>
      <c r="D42" s="3">
        <f>1/E41</f>
        <v>0.5</v>
      </c>
      <c r="E42" s="3">
        <v>1</v>
      </c>
      <c r="F42" s="3">
        <v>2</v>
      </c>
    </row>
    <row r="43" spans="1:10" x14ac:dyDescent="0.35">
      <c r="A43" s="3" t="s">
        <v>81</v>
      </c>
      <c r="B43" s="3">
        <f>1/F39</f>
        <v>1</v>
      </c>
      <c r="C43" s="3">
        <f>1/F40</f>
        <v>1</v>
      </c>
      <c r="D43" s="3">
        <f>1/F41</f>
        <v>1</v>
      </c>
      <c r="E43" s="3">
        <f>1/F42</f>
        <v>0.5</v>
      </c>
      <c r="F43" s="3">
        <v>1</v>
      </c>
    </row>
    <row r="45" spans="1:10" ht="15.5" x14ac:dyDescent="0.35">
      <c r="A45" s="32" t="s">
        <v>82</v>
      </c>
      <c r="B45" s="32"/>
      <c r="C45" s="32"/>
    </row>
    <row r="46" spans="1:10" ht="15.5" x14ac:dyDescent="0.35">
      <c r="A46" s="3"/>
      <c r="B46" s="7" t="s">
        <v>18</v>
      </c>
      <c r="C46" s="3" t="s">
        <v>83</v>
      </c>
      <c r="D46" s="3" t="s">
        <v>84</v>
      </c>
      <c r="E46" s="7" t="s">
        <v>85</v>
      </c>
      <c r="F46" s="3" t="s">
        <v>86</v>
      </c>
      <c r="G46" s="3" t="s">
        <v>87</v>
      </c>
      <c r="H46" s="7" t="s">
        <v>88</v>
      </c>
    </row>
    <row r="47" spans="1:10" ht="15.5" x14ac:dyDescent="0.35">
      <c r="A47" s="7" t="s">
        <v>18</v>
      </c>
      <c r="B47" s="3">
        <v>1</v>
      </c>
      <c r="C47" s="3">
        <v>1</v>
      </c>
      <c r="D47" s="3">
        <v>2</v>
      </c>
      <c r="E47" s="3">
        <f>1/2</f>
        <v>0.5</v>
      </c>
      <c r="F47" s="3">
        <v>1</v>
      </c>
      <c r="G47" s="3">
        <v>1</v>
      </c>
      <c r="H47" s="3">
        <v>3</v>
      </c>
    </row>
    <row r="48" spans="1:10" x14ac:dyDescent="0.35">
      <c r="A48" s="3" t="s">
        <v>83</v>
      </c>
      <c r="B48" s="3">
        <f>1/C47</f>
        <v>1</v>
      </c>
      <c r="C48" s="3">
        <v>1</v>
      </c>
      <c r="D48" s="3">
        <v>2</v>
      </c>
      <c r="E48" s="3">
        <f>1/3</f>
        <v>0.33333333333333331</v>
      </c>
      <c r="F48" s="3">
        <v>1</v>
      </c>
      <c r="G48" s="3">
        <v>2</v>
      </c>
      <c r="H48" s="3">
        <v>2</v>
      </c>
    </row>
    <row r="49" spans="1:8" x14ac:dyDescent="0.35">
      <c r="A49" s="3" t="s">
        <v>84</v>
      </c>
      <c r="B49" s="3">
        <f>1/D47</f>
        <v>0.5</v>
      </c>
      <c r="C49" s="3">
        <f>1/D48</f>
        <v>0.5</v>
      </c>
      <c r="D49" s="3">
        <v>1</v>
      </c>
      <c r="E49" s="3">
        <f>1/3</f>
        <v>0.33333333333333331</v>
      </c>
      <c r="F49" s="3">
        <f>1/3</f>
        <v>0.33333333333333331</v>
      </c>
      <c r="G49" s="3">
        <v>1</v>
      </c>
      <c r="H49" s="3">
        <f>1/2</f>
        <v>0.5</v>
      </c>
    </row>
    <row r="50" spans="1:8" ht="15.5" x14ac:dyDescent="0.35">
      <c r="A50" s="7" t="s">
        <v>85</v>
      </c>
      <c r="B50" s="3">
        <f>1/E47</f>
        <v>2</v>
      </c>
      <c r="C50" s="3">
        <f>1/E48</f>
        <v>3</v>
      </c>
      <c r="D50" s="3">
        <f>1/E49</f>
        <v>3</v>
      </c>
      <c r="E50" s="3">
        <v>1</v>
      </c>
      <c r="F50" s="3">
        <v>3</v>
      </c>
      <c r="G50" s="3">
        <v>3</v>
      </c>
      <c r="H50" s="3">
        <v>2</v>
      </c>
    </row>
    <row r="51" spans="1:8" x14ac:dyDescent="0.35">
      <c r="A51" s="3" t="s">
        <v>86</v>
      </c>
      <c r="B51" s="3">
        <f>1/F47</f>
        <v>1</v>
      </c>
      <c r="C51" s="3">
        <f>1/F48</f>
        <v>1</v>
      </c>
      <c r="D51" s="3">
        <f>1/F49</f>
        <v>3</v>
      </c>
      <c r="E51" s="3">
        <f>1/F50</f>
        <v>0.33333333333333331</v>
      </c>
      <c r="F51" s="3">
        <v>1</v>
      </c>
      <c r="G51" s="3">
        <v>1</v>
      </c>
      <c r="H51" s="3">
        <f>1/2</f>
        <v>0.5</v>
      </c>
    </row>
    <row r="52" spans="1:8" x14ac:dyDescent="0.35">
      <c r="A52" s="3" t="s">
        <v>87</v>
      </c>
      <c r="B52" s="3">
        <f>1/G47</f>
        <v>1</v>
      </c>
      <c r="C52" s="3">
        <f>1/G48</f>
        <v>0.5</v>
      </c>
      <c r="D52" s="3">
        <f>1/G49</f>
        <v>1</v>
      </c>
      <c r="E52" s="3">
        <f>1/G50</f>
        <v>0.33333333333333331</v>
      </c>
      <c r="F52" s="3">
        <f>1/G51</f>
        <v>1</v>
      </c>
      <c r="G52" s="3">
        <v>1</v>
      </c>
      <c r="H52" s="3">
        <v>2</v>
      </c>
    </row>
    <row r="53" spans="1:8" ht="15.5" x14ac:dyDescent="0.35">
      <c r="A53" s="7" t="s">
        <v>88</v>
      </c>
      <c r="B53" s="3">
        <f>1/H47</f>
        <v>0.33333333333333331</v>
      </c>
      <c r="C53" s="3">
        <f>1/H48</f>
        <v>0.5</v>
      </c>
      <c r="D53" s="3">
        <f>1/H49</f>
        <v>2</v>
      </c>
      <c r="E53" s="3">
        <f>1/H50</f>
        <v>0.5</v>
      </c>
      <c r="F53" s="3">
        <f>1/H51</f>
        <v>2</v>
      </c>
      <c r="G53" s="3">
        <f>1/H52</f>
        <v>0.5</v>
      </c>
      <c r="H53" s="3">
        <v>1</v>
      </c>
    </row>
    <row r="55" spans="1:8" ht="15.5" x14ac:dyDescent="0.35">
      <c r="A55" s="32" t="s">
        <v>89</v>
      </c>
      <c r="B55" s="32"/>
      <c r="C55" s="32"/>
    </row>
    <row r="56" spans="1:8" ht="15.5" x14ac:dyDescent="0.35">
      <c r="A56" s="3"/>
      <c r="B56" s="7" t="s">
        <v>18</v>
      </c>
      <c r="C56" s="3" t="s">
        <v>83</v>
      </c>
      <c r="D56" s="3" t="s">
        <v>84</v>
      </c>
      <c r="E56" s="7" t="s">
        <v>85</v>
      </c>
      <c r="F56" s="3" t="s">
        <v>86</v>
      </c>
      <c r="G56" s="3" t="s">
        <v>87</v>
      </c>
      <c r="H56" s="7" t="s">
        <v>88</v>
      </c>
    </row>
    <row r="57" spans="1:8" ht="15.5" x14ac:dyDescent="0.35">
      <c r="A57" s="7" t="s">
        <v>18</v>
      </c>
      <c r="B57" s="3">
        <v>1</v>
      </c>
      <c r="C57" s="3">
        <v>2</v>
      </c>
      <c r="D57" s="3">
        <v>1</v>
      </c>
      <c r="E57" s="3">
        <v>3</v>
      </c>
      <c r="F57" s="3">
        <v>1</v>
      </c>
      <c r="G57" s="3">
        <v>1</v>
      </c>
      <c r="H57" s="3">
        <v>2</v>
      </c>
    </row>
    <row r="58" spans="1:8" x14ac:dyDescent="0.35">
      <c r="A58" s="3" t="s">
        <v>83</v>
      </c>
      <c r="B58" s="3">
        <f>1/C57</f>
        <v>0.5</v>
      </c>
      <c r="C58" s="3">
        <v>1</v>
      </c>
      <c r="D58" s="3">
        <v>1</v>
      </c>
      <c r="E58" s="3">
        <f>1/2</f>
        <v>0.5</v>
      </c>
      <c r="F58" s="3">
        <v>2</v>
      </c>
      <c r="G58" s="3">
        <f>1/2</f>
        <v>0.5</v>
      </c>
      <c r="H58" s="3">
        <f>1/2</f>
        <v>0.5</v>
      </c>
    </row>
    <row r="59" spans="1:8" x14ac:dyDescent="0.35">
      <c r="A59" s="3" t="s">
        <v>84</v>
      </c>
      <c r="B59" s="3">
        <f>1/D57</f>
        <v>1</v>
      </c>
      <c r="C59" s="3">
        <f>1/D58</f>
        <v>1</v>
      </c>
      <c r="D59" s="3">
        <v>1</v>
      </c>
      <c r="E59" s="3">
        <v>1</v>
      </c>
      <c r="F59" s="3">
        <v>3</v>
      </c>
      <c r="G59" s="3">
        <v>1</v>
      </c>
      <c r="H59" s="3">
        <v>1</v>
      </c>
    </row>
    <row r="60" spans="1:8" ht="15.5" x14ac:dyDescent="0.35">
      <c r="A60" s="7" t="s">
        <v>85</v>
      </c>
      <c r="B60" s="3">
        <f>1/E57</f>
        <v>0.33333333333333331</v>
      </c>
      <c r="C60" s="3">
        <f>1/E58</f>
        <v>2</v>
      </c>
      <c r="D60" s="3">
        <f>1/E59</f>
        <v>1</v>
      </c>
      <c r="E60" s="3">
        <v>1</v>
      </c>
      <c r="F60" s="3">
        <v>1</v>
      </c>
      <c r="G60" s="3">
        <v>3</v>
      </c>
      <c r="H60" s="3">
        <v>3</v>
      </c>
    </row>
    <row r="61" spans="1:8" x14ac:dyDescent="0.35">
      <c r="A61" s="3" t="s">
        <v>86</v>
      </c>
      <c r="B61" s="3">
        <f>1/F57</f>
        <v>1</v>
      </c>
      <c r="C61" s="3">
        <f>1/F58</f>
        <v>0.5</v>
      </c>
      <c r="D61" s="3">
        <f>1/F59</f>
        <v>0.33333333333333331</v>
      </c>
      <c r="E61" s="3">
        <f>1/F60</f>
        <v>1</v>
      </c>
      <c r="F61" s="3">
        <v>1</v>
      </c>
      <c r="G61" s="3">
        <v>1</v>
      </c>
      <c r="H61" s="3">
        <f>1/2</f>
        <v>0.5</v>
      </c>
    </row>
    <row r="62" spans="1:8" x14ac:dyDescent="0.35">
      <c r="A62" s="3" t="s">
        <v>87</v>
      </c>
      <c r="B62" s="3">
        <f>1/G57</f>
        <v>1</v>
      </c>
      <c r="C62" s="3">
        <f>1/G58</f>
        <v>2</v>
      </c>
      <c r="D62" s="3">
        <f>1/G59</f>
        <v>1</v>
      </c>
      <c r="E62" s="3">
        <f>1/G60</f>
        <v>0.33333333333333331</v>
      </c>
      <c r="F62" s="3">
        <f>1/G61</f>
        <v>1</v>
      </c>
      <c r="G62" s="3">
        <v>1</v>
      </c>
      <c r="H62" s="3">
        <v>2</v>
      </c>
    </row>
    <row r="63" spans="1:8" ht="15.5" x14ac:dyDescent="0.35">
      <c r="A63" s="7" t="s">
        <v>88</v>
      </c>
      <c r="B63" s="3">
        <f>1/H57</f>
        <v>0.5</v>
      </c>
      <c r="C63" s="3">
        <f>1/H58</f>
        <v>2</v>
      </c>
      <c r="D63" s="3">
        <f>1/H59</f>
        <v>1</v>
      </c>
      <c r="E63" s="3">
        <f>1/H60</f>
        <v>0.33333333333333331</v>
      </c>
      <c r="F63" s="3">
        <f>1/H61</f>
        <v>2</v>
      </c>
      <c r="G63" s="3">
        <f>1/H62</f>
        <v>0.5</v>
      </c>
      <c r="H63" s="3">
        <v>1</v>
      </c>
    </row>
    <row r="65" spans="1:8" ht="15.5" x14ac:dyDescent="0.35">
      <c r="A65" s="32" t="s">
        <v>90</v>
      </c>
      <c r="B65" s="32"/>
      <c r="C65" s="32"/>
    </row>
    <row r="66" spans="1:8" ht="15.5" x14ac:dyDescent="0.35">
      <c r="A66" s="3"/>
      <c r="B66" s="7" t="s">
        <v>18</v>
      </c>
      <c r="C66" s="3" t="s">
        <v>21</v>
      </c>
      <c r="D66" s="3" t="s">
        <v>24</v>
      </c>
      <c r="E66" s="7" t="s">
        <v>27</v>
      </c>
      <c r="F66" s="3" t="s">
        <v>30</v>
      </c>
      <c r="G66" s="3" t="s">
        <v>33</v>
      </c>
      <c r="H66" s="7" t="s">
        <v>36</v>
      </c>
    </row>
    <row r="67" spans="1:8" ht="15.5" x14ac:dyDescent="0.35">
      <c r="A67" s="7" t="s">
        <v>18</v>
      </c>
      <c r="B67" s="3">
        <v>1</v>
      </c>
      <c r="C67" s="3">
        <v>1</v>
      </c>
      <c r="D67" s="3">
        <v>1</v>
      </c>
      <c r="E67" s="3">
        <v>2</v>
      </c>
      <c r="F67" s="3">
        <v>2</v>
      </c>
      <c r="G67" s="3">
        <f>1/3</f>
        <v>0.33333333333333331</v>
      </c>
      <c r="H67" s="3">
        <f>1/3</f>
        <v>0.33333333333333331</v>
      </c>
    </row>
    <row r="68" spans="1:8" x14ac:dyDescent="0.35">
      <c r="A68" s="3" t="s">
        <v>21</v>
      </c>
      <c r="B68" s="3">
        <f>1/C67</f>
        <v>1</v>
      </c>
      <c r="C68" s="3">
        <v>1</v>
      </c>
      <c r="D68" s="3">
        <v>1</v>
      </c>
      <c r="E68" s="3">
        <f>1/4</f>
        <v>0.25</v>
      </c>
      <c r="F68" s="3">
        <v>1</v>
      </c>
      <c r="G68" s="3">
        <v>2</v>
      </c>
      <c r="H68" s="3">
        <f>1/2</f>
        <v>0.5</v>
      </c>
    </row>
    <row r="69" spans="1:8" x14ac:dyDescent="0.35">
      <c r="A69" s="3" t="s">
        <v>24</v>
      </c>
      <c r="B69" s="3">
        <f>1/D67</f>
        <v>1</v>
      </c>
      <c r="C69" s="3">
        <f>1/D68</f>
        <v>1</v>
      </c>
      <c r="D69" s="3">
        <v>1</v>
      </c>
      <c r="E69" s="3">
        <v>1</v>
      </c>
      <c r="F69" s="3">
        <v>2</v>
      </c>
      <c r="G69" s="3">
        <f>1/2</f>
        <v>0.5</v>
      </c>
      <c r="H69" s="3">
        <v>1</v>
      </c>
    </row>
    <row r="70" spans="1:8" ht="15.5" x14ac:dyDescent="0.35">
      <c r="A70" s="7" t="s">
        <v>27</v>
      </c>
      <c r="B70" s="3">
        <f>1/E67</f>
        <v>0.5</v>
      </c>
      <c r="C70" s="3">
        <f>1/E68</f>
        <v>4</v>
      </c>
      <c r="D70" s="3">
        <f>1/E69</f>
        <v>1</v>
      </c>
      <c r="E70" s="3">
        <v>1</v>
      </c>
      <c r="F70" s="3">
        <v>2</v>
      </c>
      <c r="G70" s="3">
        <v>1</v>
      </c>
      <c r="H70" s="3">
        <v>2</v>
      </c>
    </row>
    <row r="71" spans="1:8" x14ac:dyDescent="0.35">
      <c r="A71" s="3" t="s">
        <v>30</v>
      </c>
      <c r="B71" s="3">
        <f>1/F67</f>
        <v>0.5</v>
      </c>
      <c r="C71" s="3">
        <f>1/F68</f>
        <v>1</v>
      </c>
      <c r="D71" s="3">
        <f>1/F69</f>
        <v>0.5</v>
      </c>
      <c r="E71" s="3">
        <f>1/F70</f>
        <v>0.5</v>
      </c>
      <c r="F71" s="3">
        <v>1</v>
      </c>
      <c r="G71" s="3">
        <v>1</v>
      </c>
      <c r="H71" s="3">
        <v>2</v>
      </c>
    </row>
    <row r="72" spans="1:8" x14ac:dyDescent="0.35">
      <c r="A72" s="3" t="s">
        <v>33</v>
      </c>
      <c r="B72" s="3">
        <f>1/G67</f>
        <v>3</v>
      </c>
      <c r="C72" s="3">
        <f>1/G68</f>
        <v>0.5</v>
      </c>
      <c r="D72" s="3">
        <f>1/G69</f>
        <v>2</v>
      </c>
      <c r="E72" s="3">
        <f>1/G70</f>
        <v>1</v>
      </c>
      <c r="F72" s="3">
        <f>1/G71</f>
        <v>1</v>
      </c>
      <c r="G72" s="3">
        <v>1</v>
      </c>
      <c r="H72" s="3">
        <v>2</v>
      </c>
    </row>
    <row r="73" spans="1:8" ht="15.5" x14ac:dyDescent="0.35">
      <c r="A73" s="7" t="s">
        <v>36</v>
      </c>
      <c r="B73" s="3">
        <f>1/H67</f>
        <v>3</v>
      </c>
      <c r="C73" s="3">
        <f>1/H68</f>
        <v>2</v>
      </c>
      <c r="D73" s="3">
        <f>1/H69</f>
        <v>1</v>
      </c>
      <c r="E73" s="3">
        <f>1/H70</f>
        <v>0.5</v>
      </c>
      <c r="F73" s="3">
        <f>1/H71</f>
        <v>0.5</v>
      </c>
      <c r="G73" s="3">
        <f>1/H72</f>
        <v>0.5</v>
      </c>
      <c r="H73" s="3">
        <v>1</v>
      </c>
    </row>
    <row r="75" spans="1:8" ht="15.5" x14ac:dyDescent="0.35">
      <c r="A75" s="32" t="s">
        <v>91</v>
      </c>
      <c r="B75" s="32"/>
      <c r="C75" s="32"/>
    </row>
    <row r="76" spans="1:8" ht="15.5" x14ac:dyDescent="0.35">
      <c r="A76" s="3"/>
      <c r="B76" s="7" t="s">
        <v>18</v>
      </c>
      <c r="C76" s="3" t="s">
        <v>21</v>
      </c>
      <c r="D76" s="3" t="s">
        <v>24</v>
      </c>
      <c r="E76" s="7" t="s">
        <v>27</v>
      </c>
      <c r="F76" s="3" t="s">
        <v>30</v>
      </c>
      <c r="G76" s="3" t="s">
        <v>33</v>
      </c>
      <c r="H76" s="7" t="s">
        <v>36</v>
      </c>
    </row>
    <row r="77" spans="1:8" ht="15.5" x14ac:dyDescent="0.35">
      <c r="A77" s="7" t="s">
        <v>18</v>
      </c>
      <c r="B77" s="3">
        <v>1</v>
      </c>
      <c r="C77" s="3">
        <v>1</v>
      </c>
      <c r="D77" s="3">
        <f>1/2</f>
        <v>0.5</v>
      </c>
      <c r="E77" s="3">
        <f>1/2</f>
        <v>0.5</v>
      </c>
      <c r="F77" s="3">
        <v>1</v>
      </c>
      <c r="G77" s="3">
        <v>2</v>
      </c>
      <c r="H77" s="3">
        <v>1</v>
      </c>
    </row>
    <row r="78" spans="1:8" x14ac:dyDescent="0.35">
      <c r="A78" s="3" t="s">
        <v>21</v>
      </c>
      <c r="B78" s="3">
        <f>1/C77</f>
        <v>1</v>
      </c>
      <c r="C78" s="3">
        <v>1</v>
      </c>
      <c r="D78" s="3">
        <v>1</v>
      </c>
      <c r="E78" s="3">
        <f>1/4</f>
        <v>0.25</v>
      </c>
      <c r="F78" s="3">
        <v>1</v>
      </c>
      <c r="G78" s="3">
        <v>2</v>
      </c>
      <c r="H78" s="3">
        <v>2</v>
      </c>
    </row>
    <row r="79" spans="1:8" x14ac:dyDescent="0.35">
      <c r="A79" s="3" t="s">
        <v>24</v>
      </c>
      <c r="B79" s="3">
        <f>1/D77</f>
        <v>2</v>
      </c>
      <c r="C79" s="3">
        <f>1/D78</f>
        <v>1</v>
      </c>
      <c r="D79" s="3">
        <v>1</v>
      </c>
      <c r="E79" s="3">
        <v>1</v>
      </c>
      <c r="F79" s="3">
        <v>1</v>
      </c>
      <c r="G79" s="3">
        <f>1/3</f>
        <v>0.33333333333333331</v>
      </c>
      <c r="H79" s="3">
        <v>3</v>
      </c>
    </row>
    <row r="80" spans="1:8" ht="15.5" x14ac:dyDescent="0.35">
      <c r="A80" s="7" t="s">
        <v>27</v>
      </c>
      <c r="B80" s="3">
        <f>1/E77</f>
        <v>2</v>
      </c>
      <c r="C80" s="3">
        <f>1/E78</f>
        <v>4</v>
      </c>
      <c r="D80" s="3">
        <f>1/E79</f>
        <v>1</v>
      </c>
      <c r="E80" s="3">
        <v>1</v>
      </c>
      <c r="F80" s="3">
        <v>1</v>
      </c>
      <c r="G80" s="3">
        <v>2</v>
      </c>
      <c r="H80" s="3">
        <v>1</v>
      </c>
    </row>
    <row r="81" spans="1:8" x14ac:dyDescent="0.35">
      <c r="A81" s="3" t="s">
        <v>30</v>
      </c>
      <c r="B81" s="3">
        <f>1/F77</f>
        <v>1</v>
      </c>
      <c r="C81" s="3">
        <f>1/F78</f>
        <v>1</v>
      </c>
      <c r="D81" s="3">
        <f>1/F79</f>
        <v>1</v>
      </c>
      <c r="E81" s="3">
        <f>1/F80</f>
        <v>1</v>
      </c>
      <c r="F81" s="3">
        <v>1</v>
      </c>
      <c r="G81" s="3">
        <v>3</v>
      </c>
      <c r="H81" s="3">
        <v>3</v>
      </c>
    </row>
    <row r="82" spans="1:8" x14ac:dyDescent="0.35">
      <c r="A82" s="3" t="s">
        <v>33</v>
      </c>
      <c r="B82" s="3">
        <f>1/G77</f>
        <v>0.5</v>
      </c>
      <c r="C82" s="3">
        <f>1/G78</f>
        <v>0.5</v>
      </c>
      <c r="D82" s="3">
        <f>1/G79</f>
        <v>3</v>
      </c>
      <c r="E82" s="3">
        <f>1/G80</f>
        <v>0.5</v>
      </c>
      <c r="F82" s="3">
        <f>1/G81</f>
        <v>0.33333333333333331</v>
      </c>
      <c r="G82" s="3">
        <v>1</v>
      </c>
      <c r="H82" s="3">
        <v>2</v>
      </c>
    </row>
    <row r="83" spans="1:8" ht="15.5" x14ac:dyDescent="0.35">
      <c r="A83" s="7" t="s">
        <v>36</v>
      </c>
      <c r="B83" s="3">
        <f>1/H77</f>
        <v>1</v>
      </c>
      <c r="C83" s="3">
        <f>1/H78</f>
        <v>0.5</v>
      </c>
      <c r="D83" s="3">
        <f>1/H79</f>
        <v>0.33333333333333331</v>
      </c>
      <c r="E83" s="3">
        <f>1/H80</f>
        <v>1</v>
      </c>
      <c r="F83" s="3">
        <f>1/H81</f>
        <v>0.33333333333333331</v>
      </c>
      <c r="G83" s="3">
        <f>1/H82</f>
        <v>0.5</v>
      </c>
      <c r="H83" s="3">
        <v>1</v>
      </c>
    </row>
    <row r="85" spans="1:8" ht="15.5" x14ac:dyDescent="0.35">
      <c r="A85" s="32" t="s">
        <v>92</v>
      </c>
      <c r="B85" s="32"/>
      <c r="C85" s="32"/>
    </row>
    <row r="86" spans="1:8" ht="15.5" x14ac:dyDescent="0.35">
      <c r="A86" s="3"/>
      <c r="B86" s="7" t="s">
        <v>18</v>
      </c>
      <c r="C86" s="3" t="s">
        <v>21</v>
      </c>
      <c r="D86" s="3" t="s">
        <v>24</v>
      </c>
      <c r="E86" s="7" t="s">
        <v>27</v>
      </c>
      <c r="F86" s="3" t="s">
        <v>30</v>
      </c>
      <c r="G86" s="3" t="s">
        <v>33</v>
      </c>
      <c r="H86" s="7" t="s">
        <v>36</v>
      </c>
    </row>
    <row r="87" spans="1:8" ht="15.5" x14ac:dyDescent="0.35">
      <c r="A87" s="7" t="s">
        <v>18</v>
      </c>
      <c r="B87" s="3">
        <v>1</v>
      </c>
      <c r="C87" s="3">
        <v>1</v>
      </c>
      <c r="D87" s="3">
        <v>2</v>
      </c>
      <c r="E87" s="3">
        <v>2</v>
      </c>
      <c r="F87" s="3">
        <v>1</v>
      </c>
      <c r="G87" s="3">
        <v>2</v>
      </c>
      <c r="H87" s="3">
        <v>1</v>
      </c>
    </row>
    <row r="88" spans="1:8" x14ac:dyDescent="0.35">
      <c r="A88" s="3" t="s">
        <v>21</v>
      </c>
      <c r="B88" s="3">
        <f>1/C87</f>
        <v>1</v>
      </c>
      <c r="C88" s="3">
        <v>1</v>
      </c>
      <c r="D88" s="3">
        <v>3</v>
      </c>
      <c r="E88" s="3">
        <v>3</v>
      </c>
      <c r="F88" s="3">
        <v>1</v>
      </c>
      <c r="G88" s="3">
        <f>1/3</f>
        <v>0.33333333333333331</v>
      </c>
      <c r="H88" s="3">
        <v>1</v>
      </c>
    </row>
    <row r="89" spans="1:8" x14ac:dyDescent="0.35">
      <c r="A89" s="3" t="s">
        <v>24</v>
      </c>
      <c r="B89" s="3">
        <f>1/D87</f>
        <v>0.5</v>
      </c>
      <c r="C89" s="3">
        <f>1/D88</f>
        <v>0.33333333333333331</v>
      </c>
      <c r="D89" s="3">
        <v>1</v>
      </c>
      <c r="E89" s="3">
        <v>2</v>
      </c>
      <c r="F89" s="3">
        <v>1</v>
      </c>
      <c r="G89" s="3">
        <v>1</v>
      </c>
      <c r="H89" s="3">
        <v>1</v>
      </c>
    </row>
    <row r="90" spans="1:8" ht="15.5" x14ac:dyDescent="0.35">
      <c r="A90" s="7" t="s">
        <v>27</v>
      </c>
      <c r="B90" s="3">
        <f>1/E87</f>
        <v>0.5</v>
      </c>
      <c r="C90" s="3">
        <f>1/E88</f>
        <v>0.33333333333333331</v>
      </c>
      <c r="D90" s="3">
        <f>1/E89</f>
        <v>0.5</v>
      </c>
      <c r="E90" s="3">
        <v>1</v>
      </c>
      <c r="F90" s="3">
        <v>4</v>
      </c>
      <c r="G90" s="3">
        <v>4</v>
      </c>
      <c r="H90" s="3">
        <v>2</v>
      </c>
    </row>
    <row r="91" spans="1:8" x14ac:dyDescent="0.35">
      <c r="A91" s="3" t="s">
        <v>30</v>
      </c>
      <c r="B91" s="3">
        <f>1/F87</f>
        <v>1</v>
      </c>
      <c r="C91" s="3">
        <f>1/F88</f>
        <v>1</v>
      </c>
      <c r="D91" s="3">
        <f>1/F89</f>
        <v>1</v>
      </c>
      <c r="E91" s="3">
        <f>1/F90</f>
        <v>0.25</v>
      </c>
      <c r="F91" s="3">
        <v>1</v>
      </c>
      <c r="G91" s="3">
        <v>1</v>
      </c>
      <c r="H91" s="3">
        <f>1/2</f>
        <v>0.5</v>
      </c>
    </row>
    <row r="92" spans="1:8" x14ac:dyDescent="0.35">
      <c r="A92" s="3" t="s">
        <v>33</v>
      </c>
      <c r="B92" s="3">
        <f>1/G87</f>
        <v>0.5</v>
      </c>
      <c r="C92" s="3">
        <f>1/G88</f>
        <v>3</v>
      </c>
      <c r="D92" s="3">
        <f>1/G89</f>
        <v>1</v>
      </c>
      <c r="E92" s="3">
        <f>1/G90</f>
        <v>0.25</v>
      </c>
      <c r="F92" s="3">
        <f>1/G91</f>
        <v>1</v>
      </c>
      <c r="G92" s="3">
        <v>1</v>
      </c>
      <c r="H92" s="3">
        <f>1/2</f>
        <v>0.5</v>
      </c>
    </row>
    <row r="93" spans="1:8" ht="15.5" x14ac:dyDescent="0.35">
      <c r="A93" s="7" t="s">
        <v>36</v>
      </c>
      <c r="B93" s="3">
        <f>1/H87</f>
        <v>1</v>
      </c>
      <c r="C93" s="3">
        <f>1/H88</f>
        <v>1</v>
      </c>
      <c r="D93" s="3">
        <f>1/H89</f>
        <v>1</v>
      </c>
      <c r="E93" s="3">
        <f>1/H90</f>
        <v>0.5</v>
      </c>
      <c r="F93" s="3">
        <f>1/H91</f>
        <v>2</v>
      </c>
      <c r="G93" s="3">
        <f>1/H92</f>
        <v>2</v>
      </c>
      <c r="H93" s="3">
        <v>1</v>
      </c>
    </row>
    <row r="95" spans="1:8" x14ac:dyDescent="0.35">
      <c r="A95" s="33" t="s">
        <v>93</v>
      </c>
      <c r="B95" s="33"/>
    </row>
    <row r="96" spans="1:8" x14ac:dyDescent="0.35">
      <c r="A96" s="31" t="s">
        <v>95</v>
      </c>
      <c r="B96" s="31"/>
      <c r="D96" s="31" t="s">
        <v>83</v>
      </c>
      <c r="E96" s="31"/>
    </row>
    <row r="97" spans="1:5" x14ac:dyDescent="0.35">
      <c r="A97" s="3"/>
      <c r="B97" s="3" t="s">
        <v>20</v>
      </c>
      <c r="D97" s="3"/>
      <c r="E97" s="3" t="s">
        <v>97</v>
      </c>
    </row>
    <row r="98" spans="1:5" x14ac:dyDescent="0.35">
      <c r="A98" s="3" t="s">
        <v>94</v>
      </c>
      <c r="B98" s="3">
        <v>1</v>
      </c>
      <c r="D98" s="3" t="s">
        <v>96</v>
      </c>
      <c r="E98" s="3">
        <v>2</v>
      </c>
    </row>
    <row r="100" spans="1:5" x14ac:dyDescent="0.35">
      <c r="A100" s="31" t="s">
        <v>98</v>
      </c>
      <c r="B100" s="31"/>
      <c r="D100" s="31" t="s">
        <v>85</v>
      </c>
      <c r="E100" s="31"/>
    </row>
    <row r="101" spans="1:5" x14ac:dyDescent="0.35">
      <c r="A101" s="3"/>
      <c r="B101" s="3" t="s">
        <v>26</v>
      </c>
      <c r="D101" s="3"/>
      <c r="E101" s="3" t="s">
        <v>29</v>
      </c>
    </row>
    <row r="102" spans="1:5" x14ac:dyDescent="0.35">
      <c r="A102" s="3" t="s">
        <v>25</v>
      </c>
      <c r="B102" s="3">
        <v>1</v>
      </c>
      <c r="D102" s="3" t="s">
        <v>99</v>
      </c>
      <c r="E102" s="3">
        <v>1</v>
      </c>
    </row>
    <row r="104" spans="1:5" x14ac:dyDescent="0.35">
      <c r="A104" s="31" t="s">
        <v>100</v>
      </c>
      <c r="B104" s="31"/>
      <c r="D104" s="31" t="s">
        <v>87</v>
      </c>
      <c r="E104" s="31"/>
    </row>
    <row r="105" spans="1:5" x14ac:dyDescent="0.35">
      <c r="A105" s="3"/>
      <c r="B105" s="3" t="s">
        <v>101</v>
      </c>
      <c r="D105" s="3"/>
      <c r="E105" s="3" t="s">
        <v>35</v>
      </c>
    </row>
    <row r="106" spans="1:5" x14ac:dyDescent="0.35">
      <c r="A106" s="3" t="s">
        <v>31</v>
      </c>
      <c r="B106" s="3">
        <v>2</v>
      </c>
      <c r="D106" s="3" t="s">
        <v>34</v>
      </c>
      <c r="E106" s="3">
        <v>1</v>
      </c>
    </row>
    <row r="108" spans="1:5" x14ac:dyDescent="0.35">
      <c r="A108" s="31" t="s">
        <v>88</v>
      </c>
      <c r="B108" s="31"/>
    </row>
    <row r="109" spans="1:5" x14ac:dyDescent="0.35">
      <c r="A109" s="3"/>
      <c r="B109" s="3" t="s">
        <v>103</v>
      </c>
    </row>
    <row r="110" spans="1:5" x14ac:dyDescent="0.35">
      <c r="A110" s="3" t="s">
        <v>102</v>
      </c>
      <c r="B110" s="3">
        <v>1</v>
      </c>
    </row>
  </sheetData>
  <mergeCells count="14">
    <mergeCell ref="A85:C85"/>
    <mergeCell ref="A95:B95"/>
    <mergeCell ref="A37:C37"/>
    <mergeCell ref="A45:C45"/>
    <mergeCell ref="A55:C55"/>
    <mergeCell ref="A65:C65"/>
    <mergeCell ref="A75:C75"/>
    <mergeCell ref="A108:B108"/>
    <mergeCell ref="A96:B96"/>
    <mergeCell ref="D96:E96"/>
    <mergeCell ref="D100:E100"/>
    <mergeCell ref="D104:E104"/>
    <mergeCell ref="A100:B100"/>
    <mergeCell ref="A104:B10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2C8D-21A4-4112-9611-50FC5022E577}">
  <dimension ref="A1:B10"/>
  <sheetViews>
    <sheetView workbookViewId="0">
      <selection activeCell="F25" sqref="F25"/>
    </sheetView>
  </sheetViews>
  <sheetFormatPr defaultColWidth="9.1796875" defaultRowHeight="14" x14ac:dyDescent="0.3"/>
  <cols>
    <col min="1" max="1" width="9.1796875" style="1"/>
    <col min="2" max="2" width="73.81640625" style="1" customWidth="1"/>
    <col min="3" max="16384" width="9.1796875" style="1"/>
  </cols>
  <sheetData>
    <row r="1" spans="1:2" x14ac:dyDescent="0.3">
      <c r="A1" s="1" t="s">
        <v>0</v>
      </c>
    </row>
    <row r="2" spans="1:2" x14ac:dyDescent="0.3">
      <c r="A2" s="1" t="s">
        <v>1</v>
      </c>
    </row>
    <row r="3" spans="1:2" x14ac:dyDescent="0.3">
      <c r="A3" s="3" t="s">
        <v>2</v>
      </c>
      <c r="B3" s="3" t="s">
        <v>3</v>
      </c>
    </row>
    <row r="4" spans="1:2" x14ac:dyDescent="0.3">
      <c r="A4" s="3">
        <v>1</v>
      </c>
      <c r="B4" s="3" t="s">
        <v>4</v>
      </c>
    </row>
    <row r="5" spans="1:2" x14ac:dyDescent="0.3">
      <c r="A5" s="3">
        <v>2</v>
      </c>
      <c r="B5" s="3"/>
    </row>
    <row r="6" spans="1:2" x14ac:dyDescent="0.3">
      <c r="A6" s="3">
        <v>3</v>
      </c>
      <c r="B6" s="3"/>
    </row>
    <row r="7" spans="1:2" x14ac:dyDescent="0.3">
      <c r="A7" s="3">
        <v>4</v>
      </c>
      <c r="B7" s="3"/>
    </row>
    <row r="8" spans="1:2" x14ac:dyDescent="0.3">
      <c r="A8" s="3">
        <v>5</v>
      </c>
      <c r="B8" s="3"/>
    </row>
    <row r="9" spans="1:2" x14ac:dyDescent="0.3">
      <c r="A9" s="3">
        <v>6</v>
      </c>
      <c r="B9" s="3"/>
    </row>
    <row r="10" spans="1:2" x14ac:dyDescent="0.3">
      <c r="A10" s="3">
        <v>7</v>
      </c>
      <c r="B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3B2A-28F1-4C57-9392-4EE2F5F42EE6}">
  <dimension ref="A1:AX38"/>
  <sheetViews>
    <sheetView topLeftCell="A36" zoomScale="75" zoomScaleNormal="100" workbookViewId="0">
      <selection activeCell="F59" sqref="F59"/>
    </sheetView>
  </sheetViews>
  <sheetFormatPr defaultColWidth="9.1796875" defaultRowHeight="15.5" x14ac:dyDescent="0.35"/>
  <cols>
    <col min="1" max="1" width="9.1796875" style="2"/>
    <col min="2" max="2" width="9.1796875" style="2" customWidth="1"/>
    <col min="3" max="3" width="49.453125" style="2" customWidth="1"/>
    <col min="4" max="10" width="9.1796875" style="2"/>
    <col min="11" max="11" width="9.6328125" style="2" customWidth="1"/>
    <col min="12" max="12" width="19.81640625" style="2" bestFit="1" customWidth="1"/>
    <col min="13" max="18" width="8.54296875" style="2" customWidth="1"/>
    <col min="19" max="19" width="19.81640625" style="2" bestFit="1" customWidth="1"/>
    <col min="20" max="23" width="8.54296875" style="2" customWidth="1"/>
    <col min="24" max="24" width="10.90625" style="2" bestFit="1" customWidth="1"/>
    <col min="25" max="25" width="14" style="2" bestFit="1" customWidth="1"/>
    <col min="26" max="33" width="8.54296875" style="2" customWidth="1"/>
    <col min="34" max="16384" width="9.1796875" style="2"/>
  </cols>
  <sheetData>
    <row r="1" spans="1:50" ht="20" x14ac:dyDescent="0.35">
      <c r="C1" s="40" t="s">
        <v>5</v>
      </c>
      <c r="D1" s="40"/>
      <c r="AI1" s="2" t="s">
        <v>112</v>
      </c>
      <c r="AO1" s="35" t="s">
        <v>110</v>
      </c>
      <c r="AP1" s="35"/>
      <c r="AQ1" s="35"/>
      <c r="AR1" s="35"/>
      <c r="AS1" s="35"/>
      <c r="AT1" s="35"/>
      <c r="AU1" s="35"/>
      <c r="AV1" s="35"/>
      <c r="AW1" s="35"/>
      <c r="AX1" s="35"/>
    </row>
    <row r="2" spans="1:50" ht="20" customHeight="1" x14ac:dyDescent="0.35">
      <c r="A2" s="2" t="s">
        <v>46</v>
      </c>
      <c r="C2" s="5"/>
      <c r="D2" s="5"/>
      <c r="L2" s="7" t="s">
        <v>48</v>
      </c>
      <c r="M2" s="36" t="s">
        <v>49</v>
      </c>
      <c r="N2" s="37"/>
      <c r="O2" s="38"/>
      <c r="P2" s="36" t="s">
        <v>50</v>
      </c>
      <c r="Q2" s="37"/>
      <c r="R2" s="38"/>
      <c r="S2" s="36" t="s">
        <v>51</v>
      </c>
      <c r="T2" s="37"/>
      <c r="U2" s="38"/>
      <c r="V2" s="36" t="s">
        <v>52</v>
      </c>
      <c r="W2" s="37"/>
      <c r="X2" s="38"/>
      <c r="Y2" s="36" t="s">
        <v>53</v>
      </c>
      <c r="Z2" s="37"/>
      <c r="AA2" s="38"/>
      <c r="AB2" s="36" t="s">
        <v>54</v>
      </c>
      <c r="AC2" s="37"/>
      <c r="AD2" s="38"/>
      <c r="AE2" s="39" t="s">
        <v>68</v>
      </c>
      <c r="AF2" s="39"/>
      <c r="AG2" s="39"/>
      <c r="AO2" s="34" t="s">
        <v>111</v>
      </c>
      <c r="AP2" s="34"/>
      <c r="AQ2" s="34"/>
      <c r="AR2" s="34"/>
      <c r="AS2" s="34"/>
      <c r="AT2" s="34"/>
      <c r="AU2" s="34"/>
      <c r="AV2" s="34"/>
      <c r="AW2" s="34"/>
      <c r="AX2" s="34"/>
    </row>
    <row r="3" spans="1:50" ht="20" x14ac:dyDescent="0.35">
      <c r="A3" s="9" t="s">
        <v>39</v>
      </c>
      <c r="B3" s="9" t="s">
        <v>40</v>
      </c>
      <c r="C3" s="9" t="s">
        <v>41</v>
      </c>
      <c r="D3" s="5"/>
      <c r="L3" s="7" t="s">
        <v>49</v>
      </c>
      <c r="M3" s="13">
        <v>1</v>
      </c>
      <c r="N3" s="13">
        <v>1</v>
      </c>
      <c r="O3" s="13">
        <v>1</v>
      </c>
      <c r="P3" s="13">
        <v>1</v>
      </c>
      <c r="Q3" s="13">
        <v>1</v>
      </c>
      <c r="R3" s="13">
        <v>1</v>
      </c>
      <c r="S3" s="13">
        <v>2</v>
      </c>
      <c r="T3" s="13">
        <v>3</v>
      </c>
      <c r="U3" s="13">
        <v>4</v>
      </c>
      <c r="V3" s="13">
        <v>1</v>
      </c>
      <c r="W3" s="13">
        <v>1</v>
      </c>
      <c r="X3" s="13">
        <v>1</v>
      </c>
      <c r="Y3" s="13">
        <v>2</v>
      </c>
      <c r="Z3" s="13">
        <v>3</v>
      </c>
      <c r="AA3" s="13">
        <v>4</v>
      </c>
      <c r="AB3" s="13">
        <v>2</v>
      </c>
      <c r="AC3" s="13">
        <v>3</v>
      </c>
      <c r="AD3" s="13">
        <v>4</v>
      </c>
      <c r="AE3" s="13">
        <v>1</v>
      </c>
      <c r="AF3" s="13">
        <v>1</v>
      </c>
      <c r="AG3" s="13">
        <v>1</v>
      </c>
      <c r="AO3" s="34"/>
      <c r="AP3" s="34"/>
      <c r="AQ3" s="34"/>
      <c r="AR3" s="34"/>
      <c r="AS3" s="34"/>
      <c r="AT3" s="34"/>
      <c r="AU3" s="34"/>
      <c r="AV3" s="34"/>
      <c r="AW3" s="34"/>
      <c r="AX3" s="34"/>
    </row>
    <row r="4" spans="1:50" x14ac:dyDescent="0.35">
      <c r="A4" s="7">
        <v>1</v>
      </c>
      <c r="B4" s="41" t="s">
        <v>42</v>
      </c>
      <c r="C4" s="6" t="s">
        <v>6</v>
      </c>
      <c r="L4" s="7" t="s">
        <v>50</v>
      </c>
      <c r="M4" s="13">
        <f>1/P3</f>
        <v>1</v>
      </c>
      <c r="N4" s="13">
        <f t="shared" ref="N4:O4" si="0">1/Q3</f>
        <v>1</v>
      </c>
      <c r="O4" s="13">
        <f t="shared" si="0"/>
        <v>1</v>
      </c>
      <c r="P4" s="13">
        <v>1</v>
      </c>
      <c r="Q4" s="13">
        <v>1</v>
      </c>
      <c r="R4" s="13">
        <v>1</v>
      </c>
      <c r="S4" s="13">
        <v>2</v>
      </c>
      <c r="T4" s="13">
        <v>3</v>
      </c>
      <c r="U4" s="13">
        <v>4</v>
      </c>
      <c r="V4" s="13">
        <v>1</v>
      </c>
      <c r="W4" s="13">
        <v>1</v>
      </c>
      <c r="X4" s="13">
        <v>1</v>
      </c>
      <c r="Y4" s="13">
        <v>4</v>
      </c>
      <c r="Z4" s="13">
        <v>5</v>
      </c>
      <c r="AA4" s="13">
        <v>6</v>
      </c>
      <c r="AB4" s="13">
        <v>4</v>
      </c>
      <c r="AC4" s="13">
        <v>5</v>
      </c>
      <c r="AD4" s="13">
        <v>6</v>
      </c>
      <c r="AE4" s="13">
        <v>2</v>
      </c>
      <c r="AF4" s="13">
        <v>3</v>
      </c>
      <c r="AG4" s="13">
        <v>4</v>
      </c>
      <c r="AO4" s="34"/>
      <c r="AP4" s="34"/>
      <c r="AQ4" s="34"/>
      <c r="AR4" s="34"/>
      <c r="AS4" s="34"/>
      <c r="AT4" s="34"/>
      <c r="AU4" s="34"/>
      <c r="AV4" s="34"/>
      <c r="AW4" s="34"/>
      <c r="AX4" s="34"/>
    </row>
    <row r="5" spans="1:50" x14ac:dyDescent="0.35">
      <c r="A5" s="7">
        <v>2</v>
      </c>
      <c r="B5" s="42"/>
      <c r="C5" s="6" t="s">
        <v>7</v>
      </c>
      <c r="L5" s="7" t="s">
        <v>51</v>
      </c>
      <c r="M5" s="13">
        <f>1/S3</f>
        <v>0.5</v>
      </c>
      <c r="N5" s="13">
        <f t="shared" ref="N5:O5" si="1">1/T3</f>
        <v>0.33333333333333331</v>
      </c>
      <c r="O5" s="13">
        <f t="shared" si="1"/>
        <v>0.25</v>
      </c>
      <c r="P5" s="13">
        <f>1/S4</f>
        <v>0.5</v>
      </c>
      <c r="Q5" s="13">
        <f t="shared" ref="Q5:R5" si="2">1/T4</f>
        <v>0.33333333333333331</v>
      </c>
      <c r="R5" s="13">
        <f t="shared" si="2"/>
        <v>0.25</v>
      </c>
      <c r="S5" s="13">
        <v>1</v>
      </c>
      <c r="T5" s="13">
        <v>1</v>
      </c>
      <c r="U5" s="13">
        <v>1</v>
      </c>
      <c r="V5" s="13">
        <v>2</v>
      </c>
      <c r="W5" s="13">
        <v>3</v>
      </c>
      <c r="X5" s="13">
        <v>4</v>
      </c>
      <c r="Y5" s="13">
        <v>2</v>
      </c>
      <c r="Z5" s="13">
        <v>3</v>
      </c>
      <c r="AA5" s="13">
        <v>4</v>
      </c>
      <c r="AB5" s="13">
        <v>1</v>
      </c>
      <c r="AC5" s="13">
        <v>1</v>
      </c>
      <c r="AD5" s="13">
        <v>1</v>
      </c>
      <c r="AE5" s="13">
        <v>2</v>
      </c>
      <c r="AF5" s="13">
        <v>3</v>
      </c>
      <c r="AG5" s="13">
        <v>4</v>
      </c>
      <c r="AO5" s="34"/>
      <c r="AP5" s="34"/>
      <c r="AQ5" s="34"/>
      <c r="AR5" s="34"/>
      <c r="AS5" s="34"/>
      <c r="AT5" s="34"/>
      <c r="AU5" s="34"/>
      <c r="AV5" s="34"/>
      <c r="AW5" s="34"/>
      <c r="AX5" s="34"/>
    </row>
    <row r="6" spans="1:50" x14ac:dyDescent="0.35">
      <c r="A6" s="7">
        <v>3</v>
      </c>
      <c r="B6" s="42"/>
      <c r="C6" s="6" t="s">
        <v>8</v>
      </c>
      <c r="L6" s="7" t="s">
        <v>52</v>
      </c>
      <c r="M6" s="13">
        <f>1/V3</f>
        <v>1</v>
      </c>
      <c r="N6" s="13">
        <f t="shared" ref="N6:O6" si="3">1/W3</f>
        <v>1</v>
      </c>
      <c r="O6" s="13">
        <f t="shared" si="3"/>
        <v>1</v>
      </c>
      <c r="P6" s="13">
        <f>1/V4</f>
        <v>1</v>
      </c>
      <c r="Q6" s="13">
        <f t="shared" ref="Q6:R6" si="4">1/W4</f>
        <v>1</v>
      </c>
      <c r="R6" s="13">
        <f t="shared" si="4"/>
        <v>1</v>
      </c>
      <c r="S6" s="13">
        <f>1/V5</f>
        <v>0.5</v>
      </c>
      <c r="T6" s="13">
        <f t="shared" ref="T6:U6" si="5">1/W5</f>
        <v>0.33333333333333331</v>
      </c>
      <c r="U6" s="13">
        <f t="shared" si="5"/>
        <v>0.25</v>
      </c>
      <c r="V6" s="13">
        <v>1</v>
      </c>
      <c r="W6" s="13">
        <v>1</v>
      </c>
      <c r="X6" s="13">
        <v>1</v>
      </c>
      <c r="Y6" s="13">
        <v>1</v>
      </c>
      <c r="Z6" s="13">
        <v>1</v>
      </c>
      <c r="AA6" s="13">
        <v>1</v>
      </c>
      <c r="AB6" s="13">
        <v>2</v>
      </c>
      <c r="AC6" s="13">
        <v>3</v>
      </c>
      <c r="AD6" s="13">
        <v>4</v>
      </c>
      <c r="AE6" s="13">
        <v>2</v>
      </c>
      <c r="AF6" s="13">
        <v>3</v>
      </c>
      <c r="AG6" s="13">
        <v>4</v>
      </c>
      <c r="AO6" s="34"/>
      <c r="AP6" s="34"/>
      <c r="AQ6" s="34"/>
      <c r="AR6" s="34"/>
      <c r="AS6" s="34"/>
      <c r="AT6" s="34"/>
      <c r="AU6" s="34"/>
      <c r="AV6" s="34"/>
      <c r="AW6" s="34"/>
      <c r="AX6" s="34"/>
    </row>
    <row r="7" spans="1:50" x14ac:dyDescent="0.35">
      <c r="A7" s="7">
        <v>4</v>
      </c>
      <c r="B7" s="42"/>
      <c r="C7" s="6" t="s">
        <v>9</v>
      </c>
      <c r="L7" s="7" t="s">
        <v>53</v>
      </c>
      <c r="M7" s="13">
        <f>1/Y3</f>
        <v>0.5</v>
      </c>
      <c r="N7" s="13">
        <f t="shared" ref="N7:O7" si="6">1/Z3</f>
        <v>0.33333333333333331</v>
      </c>
      <c r="O7" s="13">
        <f t="shared" si="6"/>
        <v>0.25</v>
      </c>
      <c r="P7" s="13">
        <f>1/Y4</f>
        <v>0.25</v>
      </c>
      <c r="Q7" s="13">
        <f t="shared" ref="Q7:R7" si="7">1/Z4</f>
        <v>0.2</v>
      </c>
      <c r="R7" s="13">
        <f t="shared" si="7"/>
        <v>0.16666666666666666</v>
      </c>
      <c r="S7" s="13">
        <f>1/Y5</f>
        <v>0.5</v>
      </c>
      <c r="T7" s="13">
        <f t="shared" ref="T7:U7" si="8">1/Z5</f>
        <v>0.33333333333333331</v>
      </c>
      <c r="U7" s="13">
        <f t="shared" si="8"/>
        <v>0.25</v>
      </c>
      <c r="V7" s="13">
        <f>1/Y6</f>
        <v>1</v>
      </c>
      <c r="W7" s="13">
        <f t="shared" ref="W7:X7" si="9">1/Z6</f>
        <v>1</v>
      </c>
      <c r="X7" s="13">
        <f t="shared" si="9"/>
        <v>1</v>
      </c>
      <c r="Y7" s="13">
        <v>1</v>
      </c>
      <c r="Z7" s="13">
        <v>1</v>
      </c>
      <c r="AA7" s="13">
        <v>1</v>
      </c>
      <c r="AB7" s="13">
        <v>1</v>
      </c>
      <c r="AC7" s="13">
        <v>1</v>
      </c>
      <c r="AD7" s="13">
        <v>1</v>
      </c>
      <c r="AE7" s="13">
        <f>1/2</f>
        <v>0.5</v>
      </c>
      <c r="AF7" s="13">
        <v>0.33329999999999999</v>
      </c>
      <c r="AG7" s="13">
        <v>0.25</v>
      </c>
      <c r="AO7" s="34"/>
      <c r="AP7" s="34"/>
      <c r="AQ7" s="34"/>
      <c r="AR7" s="34"/>
      <c r="AS7" s="34"/>
      <c r="AT7" s="34"/>
      <c r="AU7" s="34"/>
      <c r="AV7" s="34"/>
      <c r="AW7" s="34"/>
      <c r="AX7" s="34"/>
    </row>
    <row r="8" spans="1:50" x14ac:dyDescent="0.35">
      <c r="A8" s="7">
        <v>5</v>
      </c>
      <c r="B8" s="42"/>
      <c r="C8" s="6" t="s">
        <v>10</v>
      </c>
      <c r="L8" s="7" t="s">
        <v>54</v>
      </c>
      <c r="M8" s="13">
        <f>1/AB3</f>
        <v>0.5</v>
      </c>
      <c r="N8" s="13">
        <f t="shared" ref="N8:O8" si="10">1/AC3</f>
        <v>0.33333333333333331</v>
      </c>
      <c r="O8" s="13">
        <f t="shared" si="10"/>
        <v>0.25</v>
      </c>
      <c r="P8" s="13">
        <f>1/AB4</f>
        <v>0.25</v>
      </c>
      <c r="Q8" s="13">
        <f t="shared" ref="Q8:R8" si="11">1/AC4</f>
        <v>0.2</v>
      </c>
      <c r="R8" s="13">
        <f t="shared" si="11"/>
        <v>0.16666666666666666</v>
      </c>
      <c r="S8" s="13">
        <f>1/AB5</f>
        <v>1</v>
      </c>
      <c r="T8" s="13">
        <f t="shared" ref="T8:U8" si="12">1/AC5</f>
        <v>1</v>
      </c>
      <c r="U8" s="13">
        <f t="shared" si="12"/>
        <v>1</v>
      </c>
      <c r="V8" s="13">
        <f>1/AB6</f>
        <v>0.5</v>
      </c>
      <c r="W8" s="13">
        <f t="shared" ref="W8:X8" si="13">1/AC6</f>
        <v>0.33333333333333331</v>
      </c>
      <c r="X8" s="13">
        <f t="shared" si="13"/>
        <v>0.25</v>
      </c>
      <c r="Y8" s="13">
        <f>1/AB7</f>
        <v>1</v>
      </c>
      <c r="Z8" s="13">
        <f t="shared" ref="Z8:AA8" si="14">1/AC7</f>
        <v>1</v>
      </c>
      <c r="AA8" s="13">
        <f t="shared" si="14"/>
        <v>1</v>
      </c>
      <c r="AB8" s="13">
        <v>1</v>
      </c>
      <c r="AC8" s="13">
        <v>1</v>
      </c>
      <c r="AD8" s="13">
        <v>1</v>
      </c>
      <c r="AE8" s="13">
        <f>1/2</f>
        <v>0.5</v>
      </c>
      <c r="AF8" s="13">
        <v>0.33329999999999999</v>
      </c>
      <c r="AG8" s="13">
        <v>0.25</v>
      </c>
      <c r="AO8" s="34"/>
      <c r="AP8" s="34"/>
      <c r="AQ8" s="34"/>
      <c r="AR8" s="34"/>
      <c r="AS8" s="34"/>
      <c r="AT8" s="34"/>
      <c r="AU8" s="34"/>
      <c r="AV8" s="34"/>
      <c r="AW8" s="34"/>
      <c r="AX8" s="34"/>
    </row>
    <row r="9" spans="1:50" x14ac:dyDescent="0.35">
      <c r="A9" s="7">
        <v>6</v>
      </c>
      <c r="B9" s="42"/>
      <c r="C9" s="6" t="s">
        <v>11</v>
      </c>
      <c r="L9" s="7" t="s">
        <v>68</v>
      </c>
      <c r="M9" s="13">
        <f>1/AE3</f>
        <v>1</v>
      </c>
      <c r="N9" s="13">
        <f t="shared" ref="N9:O9" si="15">1/AF3</f>
        <v>1</v>
      </c>
      <c r="O9" s="13">
        <f t="shared" si="15"/>
        <v>1</v>
      </c>
      <c r="P9" s="13">
        <f>1/AE4</f>
        <v>0.5</v>
      </c>
      <c r="Q9" s="13">
        <f t="shared" ref="Q9:R9" si="16">1/AF4</f>
        <v>0.33333333333333331</v>
      </c>
      <c r="R9" s="13">
        <f t="shared" si="16"/>
        <v>0.25</v>
      </c>
      <c r="S9" s="13">
        <f>1/AE5</f>
        <v>0.5</v>
      </c>
      <c r="T9" s="13">
        <f t="shared" ref="T9:U9" si="17">1/AF5</f>
        <v>0.33333333333333331</v>
      </c>
      <c r="U9" s="13">
        <f t="shared" si="17"/>
        <v>0.25</v>
      </c>
      <c r="V9" s="13">
        <f>1/AE6</f>
        <v>0.5</v>
      </c>
      <c r="W9" s="13">
        <f t="shared" ref="W9:X9" si="18">1/AF6</f>
        <v>0.33333333333333331</v>
      </c>
      <c r="X9" s="13">
        <f t="shared" si="18"/>
        <v>0.25</v>
      </c>
      <c r="Y9" s="13">
        <f>1/AE7</f>
        <v>2</v>
      </c>
      <c r="Z9" s="13">
        <f t="shared" ref="Z9:AA9" si="19">1/AF7</f>
        <v>3.0003000300030003</v>
      </c>
      <c r="AA9" s="13">
        <f t="shared" si="19"/>
        <v>4</v>
      </c>
      <c r="AB9" s="13">
        <f>1/AE8</f>
        <v>2</v>
      </c>
      <c r="AC9" s="13">
        <f t="shared" ref="AC9:AD9" si="20">1/AF8</f>
        <v>3.0003000300030003</v>
      </c>
      <c r="AD9" s="13">
        <f t="shared" si="20"/>
        <v>4</v>
      </c>
      <c r="AE9" s="13">
        <v>1</v>
      </c>
      <c r="AF9" s="13">
        <v>1</v>
      </c>
      <c r="AG9" s="13">
        <v>1</v>
      </c>
      <c r="AO9" s="34"/>
      <c r="AP9" s="34"/>
      <c r="AQ9" s="34"/>
      <c r="AR9" s="34"/>
      <c r="AS9" s="34"/>
      <c r="AT9" s="34"/>
      <c r="AU9" s="34"/>
      <c r="AV9" s="34"/>
      <c r="AW9" s="34"/>
      <c r="AX9" s="34"/>
    </row>
    <row r="10" spans="1:50" x14ac:dyDescent="0.35">
      <c r="A10" s="7">
        <v>7</v>
      </c>
      <c r="B10" s="43"/>
      <c r="C10" s="6" t="s">
        <v>12</v>
      </c>
      <c r="AO10" s="34"/>
      <c r="AP10" s="34"/>
      <c r="AQ10" s="34"/>
      <c r="AR10" s="34"/>
      <c r="AS10" s="34"/>
      <c r="AT10" s="34"/>
      <c r="AU10" s="34"/>
      <c r="AV10" s="34"/>
      <c r="AW10" s="34"/>
      <c r="AX10" s="34"/>
    </row>
    <row r="11" spans="1:50" x14ac:dyDescent="0.35">
      <c r="A11" s="7">
        <v>8</v>
      </c>
      <c r="B11" s="41" t="s">
        <v>43</v>
      </c>
      <c r="C11" s="6" t="s">
        <v>13</v>
      </c>
      <c r="L11" s="2" t="s">
        <v>69</v>
      </c>
      <c r="AO11" s="34"/>
      <c r="AP11" s="34"/>
      <c r="AQ11" s="34"/>
      <c r="AR11" s="34"/>
      <c r="AS11" s="34"/>
      <c r="AT11" s="34"/>
      <c r="AU11" s="34"/>
      <c r="AV11" s="34"/>
      <c r="AW11" s="34"/>
      <c r="AX11" s="34"/>
    </row>
    <row r="12" spans="1:50" x14ac:dyDescent="0.35">
      <c r="A12" s="7">
        <v>9</v>
      </c>
      <c r="B12" s="42"/>
      <c r="C12" s="6" t="s">
        <v>14</v>
      </c>
      <c r="AO12" s="34"/>
      <c r="AP12" s="34"/>
      <c r="AQ12" s="34"/>
      <c r="AR12" s="34"/>
      <c r="AS12" s="34"/>
      <c r="AT12" s="34"/>
      <c r="AU12" s="34"/>
      <c r="AV12" s="34"/>
      <c r="AW12" s="34"/>
      <c r="AX12" s="34"/>
    </row>
    <row r="13" spans="1:50" x14ac:dyDescent="0.35">
      <c r="A13" s="7">
        <v>10</v>
      </c>
      <c r="B13" s="42"/>
      <c r="C13" s="6" t="s">
        <v>15</v>
      </c>
      <c r="L13" s="7" t="s">
        <v>48</v>
      </c>
      <c r="M13" s="35" t="s">
        <v>69</v>
      </c>
      <c r="N13" s="35"/>
      <c r="O13" s="35"/>
      <c r="S13" s="7" t="s">
        <v>48</v>
      </c>
      <c r="T13" s="35" t="s">
        <v>73</v>
      </c>
      <c r="U13" s="35"/>
      <c r="V13" s="35"/>
      <c r="W13" s="24" t="s">
        <v>74</v>
      </c>
      <c r="X13" s="23" t="s">
        <v>75</v>
      </c>
      <c r="Y13" s="23" t="s">
        <v>76</v>
      </c>
      <c r="AA13" s="35" t="s">
        <v>77</v>
      </c>
      <c r="AB13" s="35"/>
      <c r="AC13" s="35"/>
      <c r="AD13" s="35"/>
      <c r="AE13" s="35"/>
      <c r="AF13" s="35"/>
      <c r="AG13" s="35"/>
      <c r="AO13" s="34"/>
      <c r="AP13" s="34"/>
      <c r="AQ13" s="34"/>
      <c r="AR13" s="34"/>
      <c r="AS13" s="34"/>
      <c r="AT13" s="34"/>
      <c r="AU13" s="34"/>
      <c r="AV13" s="34"/>
      <c r="AW13" s="34"/>
      <c r="AX13" s="34"/>
    </row>
    <row r="14" spans="1:50" ht="15.5" customHeight="1" x14ac:dyDescent="0.35">
      <c r="A14" s="7">
        <v>11</v>
      </c>
      <c r="B14" s="42"/>
      <c r="C14" s="6" t="s">
        <v>16</v>
      </c>
      <c r="L14" s="7" t="s">
        <v>49</v>
      </c>
      <c r="M14" s="23">
        <f>GEOMEAN(M3,P3,S3,V3,Y3,AB3,AE3)</f>
        <v>1.3459001926323562</v>
      </c>
      <c r="N14" s="23">
        <f>GEOMEAN(N3,Q3,T3,W3,Z3,AC3,AF3)</f>
        <v>1.6013288855576973</v>
      </c>
      <c r="O14" s="23">
        <f>GEOMEAN(O3,R3,U3,X3,AA3,AD3,AG3)</f>
        <v>1.8114473285278132</v>
      </c>
      <c r="S14" s="7" t="s">
        <v>49</v>
      </c>
      <c r="T14" s="23">
        <f>M14*$M$23</f>
        <v>0.16015074466601212</v>
      </c>
      <c r="U14" s="23">
        <f>N14*$N$23</f>
        <v>0.20126782803099344</v>
      </c>
      <c r="V14" s="23">
        <f>O14*$O$23</f>
        <v>0.24184025565698736</v>
      </c>
      <c r="W14" s="23">
        <f>AVERAGE(T14:V14)</f>
        <v>0.20108627611799765</v>
      </c>
      <c r="X14" s="23">
        <f>W14/$W$21</f>
        <v>0.20020122876583318</v>
      </c>
      <c r="Y14" s="28">
        <f>X14</f>
        <v>0.20020122876583318</v>
      </c>
      <c r="AA14" s="34" t="s">
        <v>78</v>
      </c>
      <c r="AB14" s="34"/>
      <c r="AC14" s="34"/>
      <c r="AD14" s="34"/>
      <c r="AE14" s="34"/>
      <c r="AF14" s="34"/>
      <c r="AG14" s="34"/>
      <c r="AH14" s="4"/>
      <c r="AO14" s="34"/>
      <c r="AP14" s="34"/>
      <c r="AQ14" s="34"/>
      <c r="AR14" s="34"/>
      <c r="AS14" s="34"/>
      <c r="AT14" s="34"/>
      <c r="AU14" s="34"/>
      <c r="AV14" s="34"/>
      <c r="AW14" s="34"/>
      <c r="AX14" s="34"/>
    </row>
    <row r="15" spans="1:50" x14ac:dyDescent="0.35">
      <c r="A15" s="7">
        <v>12</v>
      </c>
      <c r="B15" s="43"/>
      <c r="C15" s="6" t="s">
        <v>17</v>
      </c>
      <c r="L15" s="7" t="s">
        <v>50</v>
      </c>
      <c r="M15" s="23">
        <f t="shared" ref="M15:O15" si="21">GEOMEAN(M4,P4,S4,V4,Y4,AB4,AE4)</f>
        <v>1.8114473285278132</v>
      </c>
      <c r="N15" s="23">
        <f t="shared" si="21"/>
        <v>2.1678342525659602</v>
      </c>
      <c r="O15" s="23">
        <f t="shared" si="21"/>
        <v>2.4793969867312335</v>
      </c>
      <c r="S15" s="7" t="s">
        <v>50</v>
      </c>
      <c r="T15" s="23">
        <f t="shared" ref="T15:T20" si="22">M15*$M$23</f>
        <v>0.21554691809620094</v>
      </c>
      <c r="U15" s="23">
        <f t="shared" ref="U15:U20" si="23">N15*$N$23</f>
        <v>0.27247075568313794</v>
      </c>
      <c r="V15" s="23">
        <f t="shared" ref="V15:V20" si="24">O15*$O$23</f>
        <v>0.33101597363781093</v>
      </c>
      <c r="W15" s="23">
        <f t="shared" ref="W15:W20" si="25">AVERAGE(T15:V15)</f>
        <v>0.27301121580571658</v>
      </c>
      <c r="X15" s="23">
        <f t="shared" ref="X15:X20" si="26">W15/$W$21</f>
        <v>0.27180960295413509</v>
      </c>
      <c r="Y15" s="28">
        <f t="shared" ref="Y15:Y20" si="27">X15</f>
        <v>0.27180960295413509</v>
      </c>
      <c r="AA15" s="34"/>
      <c r="AB15" s="34"/>
      <c r="AC15" s="34"/>
      <c r="AD15" s="34"/>
      <c r="AE15" s="34"/>
      <c r="AF15" s="34"/>
      <c r="AG15" s="34"/>
      <c r="AH15" s="4"/>
      <c r="AO15" s="34"/>
      <c r="AP15" s="34"/>
      <c r="AQ15" s="34"/>
      <c r="AR15" s="34"/>
      <c r="AS15" s="34"/>
      <c r="AT15" s="34"/>
      <c r="AU15" s="34"/>
      <c r="AV15" s="34"/>
      <c r="AW15" s="34"/>
      <c r="AX15" s="34"/>
    </row>
    <row r="16" spans="1:50" s="4" customFormat="1" x14ac:dyDescent="0.35">
      <c r="A16" s="7">
        <v>13</v>
      </c>
      <c r="B16" s="41" t="s">
        <v>44</v>
      </c>
      <c r="C16" s="6" t="s">
        <v>18</v>
      </c>
      <c r="D16" s="2"/>
      <c r="E16" s="2"/>
      <c r="F16" s="2"/>
      <c r="G16" s="2"/>
      <c r="H16" s="2"/>
      <c r="I16" s="2"/>
      <c r="J16" s="2"/>
      <c r="K16" s="2"/>
      <c r="L16" s="7" t="s">
        <v>51</v>
      </c>
      <c r="M16" s="23">
        <f t="shared" ref="M16:O16" si="28">GEOMEAN(M5,P5,S5,V5,Y5,AB5,AE5)</f>
        <v>1.1040895136738123</v>
      </c>
      <c r="N16" s="23">
        <f t="shared" si="28"/>
        <v>1.1699308127586869</v>
      </c>
      <c r="O16" s="23">
        <f t="shared" si="28"/>
        <v>1.2190136542044754</v>
      </c>
      <c r="S16" s="7" t="s">
        <v>51</v>
      </c>
      <c r="T16" s="23">
        <f t="shared" si="22"/>
        <v>0.13137731814048134</v>
      </c>
      <c r="U16" s="23">
        <f t="shared" si="23"/>
        <v>0.14704626623185435</v>
      </c>
      <c r="V16" s="23">
        <f t="shared" si="24"/>
        <v>0.16274642333749878</v>
      </c>
      <c r="W16" s="23">
        <f t="shared" si="25"/>
        <v>0.14705666923661151</v>
      </c>
      <c r="X16" s="23">
        <f t="shared" si="26"/>
        <v>0.14640942409269322</v>
      </c>
      <c r="Y16" s="28">
        <f t="shared" si="27"/>
        <v>0.14640942409269322</v>
      </c>
      <c r="AA16" s="34"/>
      <c r="AB16" s="34"/>
      <c r="AC16" s="34"/>
      <c r="AD16" s="34"/>
      <c r="AE16" s="34"/>
      <c r="AF16" s="34"/>
      <c r="AG16" s="34"/>
      <c r="AO16" s="34"/>
      <c r="AP16" s="34"/>
      <c r="AQ16" s="34"/>
      <c r="AR16" s="34"/>
      <c r="AS16" s="34"/>
      <c r="AT16" s="34"/>
      <c r="AU16" s="34"/>
      <c r="AV16" s="34"/>
      <c r="AW16" s="34"/>
      <c r="AX16" s="34"/>
    </row>
    <row r="17" spans="1:50" s="4" customFormat="1" x14ac:dyDescent="0.35">
      <c r="A17" s="7">
        <v>14</v>
      </c>
      <c r="B17" s="42"/>
      <c r="C17" s="10" t="s">
        <v>21</v>
      </c>
      <c r="L17" s="7" t="s">
        <v>52</v>
      </c>
      <c r="M17" s="23">
        <f t="shared" ref="M17:O17" si="29">GEOMEAN(M6,P6,S6,V6,Y6,AB6,AE6)</f>
        <v>1.1040895136738123</v>
      </c>
      <c r="N17" s="23">
        <f t="shared" si="29"/>
        <v>1.1699308127586869</v>
      </c>
      <c r="O17" s="23">
        <f t="shared" si="29"/>
        <v>1.2190136542044754</v>
      </c>
      <c r="S17" s="7" t="s">
        <v>52</v>
      </c>
      <c r="T17" s="23">
        <f t="shared" si="22"/>
        <v>0.13137731814048134</v>
      </c>
      <c r="U17" s="23">
        <f t="shared" si="23"/>
        <v>0.14704626623185435</v>
      </c>
      <c r="V17" s="23">
        <f t="shared" si="24"/>
        <v>0.16274642333749878</v>
      </c>
      <c r="W17" s="23">
        <f t="shared" si="25"/>
        <v>0.14705666923661151</v>
      </c>
      <c r="X17" s="23">
        <f t="shared" si="26"/>
        <v>0.14640942409269322</v>
      </c>
      <c r="Y17" s="28">
        <f t="shared" si="27"/>
        <v>0.14640942409269322</v>
      </c>
      <c r="AA17" s="34"/>
      <c r="AB17" s="34"/>
      <c r="AC17" s="34"/>
      <c r="AD17" s="34"/>
      <c r="AE17" s="34"/>
      <c r="AF17" s="34"/>
      <c r="AG17" s="34"/>
    </row>
    <row r="18" spans="1:50" s="4" customFormat="1" x14ac:dyDescent="0.35">
      <c r="A18" s="7">
        <v>15</v>
      </c>
      <c r="B18" s="42"/>
      <c r="C18" s="10" t="s">
        <v>24</v>
      </c>
      <c r="L18" s="7" t="s">
        <v>53</v>
      </c>
      <c r="M18" s="23">
        <f>GEOMEAN(M7,P7,S7,V7,Y7,AB7,AE7)</f>
        <v>0.60950682710223769</v>
      </c>
      <c r="N18" s="23">
        <f t="shared" ref="N18:O18" si="30">GEOMEAN(N7,Q7,T7,W7,Z7,AC7,AF7)</f>
        <v>0.49620415892710668</v>
      </c>
      <c r="O18" s="23">
        <f t="shared" si="30"/>
        <v>0.4273756999535761</v>
      </c>
      <c r="S18" s="7" t="s">
        <v>53</v>
      </c>
      <c r="T18" s="23">
        <f t="shared" si="22"/>
        <v>7.2526159646746885E-2</v>
      </c>
      <c r="U18" s="23">
        <f t="shared" si="23"/>
        <v>6.2366909276368163E-2</v>
      </c>
      <c r="V18" s="23">
        <f t="shared" si="24"/>
        <v>5.7057495909834742E-2</v>
      </c>
      <c r="W18" s="23">
        <f t="shared" si="25"/>
        <v>6.3983521610983266E-2</v>
      </c>
      <c r="X18" s="23">
        <f t="shared" si="26"/>
        <v>6.3701908924741424E-2</v>
      </c>
      <c r="Y18" s="28">
        <f t="shared" si="27"/>
        <v>6.3701908924741424E-2</v>
      </c>
      <c r="AA18" s="34"/>
      <c r="AB18" s="34"/>
      <c r="AC18" s="34"/>
      <c r="AD18" s="34"/>
      <c r="AE18" s="34"/>
      <c r="AF18" s="34"/>
      <c r="AG18" s="34"/>
      <c r="AO18" s="35" t="s">
        <v>113</v>
      </c>
      <c r="AP18" s="35"/>
      <c r="AQ18" s="35"/>
      <c r="AR18" s="35"/>
      <c r="AS18" s="35"/>
      <c r="AT18" s="35"/>
      <c r="AU18" s="35"/>
      <c r="AV18" s="35"/>
      <c r="AW18" s="35"/>
      <c r="AX18" s="35"/>
    </row>
    <row r="19" spans="1:50" s="4" customFormat="1" ht="15.5" customHeight="1" x14ac:dyDescent="0.35">
      <c r="A19" s="7">
        <v>16</v>
      </c>
      <c r="B19" s="42"/>
      <c r="C19" s="6" t="s">
        <v>27</v>
      </c>
      <c r="L19" s="7" t="s">
        <v>54</v>
      </c>
      <c r="M19" s="23">
        <f t="shared" ref="M19:O19" si="31">GEOMEAN(M8,P8,S8,V8,Y8,AB8,AE8)</f>
        <v>0.60950682710223769</v>
      </c>
      <c r="N19" s="23">
        <f t="shared" si="31"/>
        <v>0.49620415892710668</v>
      </c>
      <c r="O19" s="23">
        <f t="shared" si="31"/>
        <v>0.4273756999535761</v>
      </c>
      <c r="S19" s="7" t="s">
        <v>54</v>
      </c>
      <c r="T19" s="23">
        <f t="shared" si="22"/>
        <v>7.2526159646746885E-2</v>
      </c>
      <c r="U19" s="23">
        <f t="shared" si="23"/>
        <v>6.2366909276368163E-2</v>
      </c>
      <c r="V19" s="23">
        <f t="shared" si="24"/>
        <v>5.7057495909834742E-2</v>
      </c>
      <c r="W19" s="23">
        <f t="shared" si="25"/>
        <v>6.3983521610983266E-2</v>
      </c>
      <c r="X19" s="23">
        <f t="shared" si="26"/>
        <v>6.3701908924741424E-2</v>
      </c>
      <c r="Y19" s="28">
        <f t="shared" si="27"/>
        <v>6.3701908924741424E-2</v>
      </c>
      <c r="AA19" s="34"/>
      <c r="AB19" s="34"/>
      <c r="AC19" s="34"/>
      <c r="AD19" s="34"/>
      <c r="AE19" s="34"/>
      <c r="AF19" s="34"/>
      <c r="AG19" s="34"/>
      <c r="AO19" s="34" t="s">
        <v>114</v>
      </c>
      <c r="AP19" s="34"/>
      <c r="AQ19" s="34"/>
      <c r="AR19" s="34"/>
      <c r="AS19" s="34"/>
      <c r="AT19" s="34"/>
      <c r="AU19" s="34"/>
      <c r="AV19" s="34"/>
      <c r="AW19" s="34"/>
      <c r="AX19" s="34"/>
    </row>
    <row r="20" spans="1:50" s="4" customFormat="1" x14ac:dyDescent="0.35">
      <c r="A20" s="7">
        <v>17</v>
      </c>
      <c r="B20" s="42"/>
      <c r="C20" s="10" t="s">
        <v>30</v>
      </c>
      <c r="L20" s="7" t="s">
        <v>68</v>
      </c>
      <c r="M20" s="23">
        <f t="shared" ref="M20:O20" si="32">GEOMEAN(M9,P9,S9,V9,Y9,AB9,AE9)</f>
        <v>0.90572366426390671</v>
      </c>
      <c r="N20" s="23">
        <f t="shared" si="32"/>
        <v>0.85477582294579213</v>
      </c>
      <c r="O20" s="23">
        <f t="shared" si="32"/>
        <v>0.82033535600763796</v>
      </c>
      <c r="S20" s="7" t="s">
        <v>68</v>
      </c>
      <c r="T20" s="23">
        <f t="shared" si="22"/>
        <v>0.10777345904810048</v>
      </c>
      <c r="U20" s="23">
        <f t="shared" si="23"/>
        <v>0.1074350652694236</v>
      </c>
      <c r="V20" s="23">
        <f t="shared" si="24"/>
        <v>0.1095202212600833</v>
      </c>
      <c r="W20" s="23">
        <f t="shared" si="25"/>
        <v>0.1082429151925358</v>
      </c>
      <c r="X20" s="23">
        <f t="shared" si="26"/>
        <v>0.1077665022451624</v>
      </c>
      <c r="Y20" s="28">
        <f t="shared" si="27"/>
        <v>0.1077665022451624</v>
      </c>
      <c r="AA20" s="34"/>
      <c r="AB20" s="34"/>
      <c r="AC20" s="34"/>
      <c r="AD20" s="34"/>
      <c r="AE20" s="34"/>
      <c r="AF20" s="34"/>
      <c r="AG20" s="34"/>
      <c r="AO20" s="34"/>
      <c r="AP20" s="34"/>
      <c r="AQ20" s="34"/>
      <c r="AR20" s="34"/>
      <c r="AS20" s="34"/>
      <c r="AT20" s="34"/>
      <c r="AU20" s="34"/>
      <c r="AV20" s="34"/>
      <c r="AW20" s="34"/>
      <c r="AX20" s="34"/>
    </row>
    <row r="21" spans="1:50" s="4" customFormat="1" x14ac:dyDescent="0.35">
      <c r="A21" s="7">
        <v>18</v>
      </c>
      <c r="B21" s="42"/>
      <c r="C21" s="10" t="s">
        <v>33</v>
      </c>
      <c r="L21" s="26" t="s">
        <v>70</v>
      </c>
      <c r="M21" s="25">
        <f>SUM(M14:M20)</f>
        <v>7.4902638669761767</v>
      </c>
      <c r="N21" s="25">
        <f t="shared" ref="N21:O21" si="33">SUM(N14:N20)</f>
        <v>7.9562089044410369</v>
      </c>
      <c r="O21" s="25">
        <f t="shared" si="33"/>
        <v>8.4039583795827895</v>
      </c>
      <c r="S21" s="26" t="s">
        <v>70</v>
      </c>
      <c r="T21" s="23"/>
      <c r="U21" s="23"/>
      <c r="V21" s="23"/>
      <c r="W21" s="25">
        <f>SUM(W14:W20)</f>
        <v>1.0044207888114396</v>
      </c>
      <c r="X21" s="25">
        <f>SUM(X14:X20)</f>
        <v>1</v>
      </c>
      <c r="Y21" s="27">
        <f>SUM(Y14:Y20)</f>
        <v>1</v>
      </c>
      <c r="AA21" s="34"/>
      <c r="AB21" s="34"/>
      <c r="AC21" s="34"/>
      <c r="AD21" s="34"/>
      <c r="AE21" s="34"/>
      <c r="AF21" s="34"/>
      <c r="AG21" s="34"/>
      <c r="AO21" s="34"/>
      <c r="AP21" s="34"/>
      <c r="AQ21" s="34"/>
      <c r="AR21" s="34"/>
      <c r="AS21" s="34"/>
      <c r="AT21" s="34"/>
      <c r="AU21" s="34"/>
      <c r="AV21" s="34"/>
      <c r="AW21" s="34"/>
      <c r="AX21" s="34"/>
    </row>
    <row r="22" spans="1:50" s="4" customFormat="1" x14ac:dyDescent="0.35">
      <c r="A22" s="7">
        <v>19</v>
      </c>
      <c r="B22" s="43"/>
      <c r="C22" s="6" t="s">
        <v>36</v>
      </c>
      <c r="L22" s="26" t="s">
        <v>71</v>
      </c>
      <c r="M22" s="25">
        <f>1/M21</f>
        <v>0.13350664512753682</v>
      </c>
      <c r="N22" s="25">
        <f t="shared" ref="N22:O22" si="34">1/N21</f>
        <v>0.1256880019127973</v>
      </c>
      <c r="O22" s="25">
        <f t="shared" si="34"/>
        <v>0.11899154598736179</v>
      </c>
      <c r="AO22" s="34"/>
      <c r="AP22" s="34"/>
      <c r="AQ22" s="34"/>
      <c r="AR22" s="34"/>
      <c r="AS22" s="34"/>
      <c r="AT22" s="34"/>
      <c r="AU22" s="34"/>
      <c r="AV22" s="34"/>
      <c r="AW22" s="34"/>
      <c r="AX22" s="34"/>
    </row>
    <row r="23" spans="1:50" s="4" customFormat="1" x14ac:dyDescent="0.35">
      <c r="A23" s="7">
        <v>20</v>
      </c>
      <c r="B23" s="44" t="s">
        <v>45</v>
      </c>
      <c r="C23" s="8" t="s">
        <v>19</v>
      </c>
      <c r="L23" s="26" t="s">
        <v>72</v>
      </c>
      <c r="M23" s="25">
        <f>MIN(M22:O22)</f>
        <v>0.11899154598736179</v>
      </c>
      <c r="N23" s="25">
        <f>MEDIAN(M22:O22)</f>
        <v>0.1256880019127973</v>
      </c>
      <c r="O23" s="25">
        <f>MAX(M22:O22)</f>
        <v>0.13350664512753682</v>
      </c>
      <c r="AO23" s="34"/>
      <c r="AP23" s="34"/>
      <c r="AQ23" s="34"/>
      <c r="AR23" s="34"/>
      <c r="AS23" s="34"/>
      <c r="AT23" s="34"/>
      <c r="AU23" s="34"/>
      <c r="AV23" s="34"/>
      <c r="AW23" s="34"/>
      <c r="AX23" s="34"/>
    </row>
    <row r="24" spans="1:50" s="4" customFormat="1" x14ac:dyDescent="0.35">
      <c r="A24" s="7">
        <v>21</v>
      </c>
      <c r="B24" s="45"/>
      <c r="C24" s="8" t="s">
        <v>20</v>
      </c>
      <c r="AO24" s="34"/>
      <c r="AP24" s="34"/>
      <c r="AQ24" s="34"/>
      <c r="AR24" s="34"/>
      <c r="AS24" s="34"/>
      <c r="AT24" s="34"/>
      <c r="AU24" s="34"/>
      <c r="AV24" s="34"/>
      <c r="AW24" s="34"/>
      <c r="AX24" s="34"/>
    </row>
    <row r="25" spans="1:50" x14ac:dyDescent="0.35">
      <c r="A25" s="7">
        <v>22</v>
      </c>
      <c r="B25" s="45"/>
      <c r="C25" s="8" t="s">
        <v>22</v>
      </c>
      <c r="D25" s="4"/>
      <c r="E25" s="4"/>
      <c r="F25" s="4"/>
      <c r="G25" s="4"/>
      <c r="H25" s="4"/>
      <c r="I25" s="4"/>
      <c r="J25" s="4"/>
      <c r="K25" s="4"/>
      <c r="AO25" s="34"/>
      <c r="AP25" s="34"/>
      <c r="AQ25" s="34"/>
      <c r="AR25" s="34"/>
      <c r="AS25" s="34"/>
      <c r="AT25" s="34"/>
      <c r="AU25" s="34"/>
      <c r="AV25" s="34"/>
      <c r="AW25" s="34"/>
      <c r="AX25" s="34"/>
    </row>
    <row r="26" spans="1:50" s="4" customFormat="1" x14ac:dyDescent="0.35">
      <c r="A26" s="7">
        <v>23</v>
      </c>
      <c r="B26" s="45"/>
      <c r="C26" s="8" t="s">
        <v>23</v>
      </c>
      <c r="D26" s="2"/>
      <c r="E26" s="2"/>
      <c r="F26" s="2"/>
      <c r="G26" s="2"/>
      <c r="H26" s="2"/>
      <c r="I26" s="2"/>
      <c r="J26" s="2"/>
      <c r="K26" s="2"/>
    </row>
    <row r="27" spans="1:50" s="4" customFormat="1" x14ac:dyDescent="0.35">
      <c r="A27" s="7">
        <v>24</v>
      </c>
      <c r="B27" s="45"/>
      <c r="C27" s="8" t="s">
        <v>25</v>
      </c>
    </row>
    <row r="28" spans="1:50" s="4" customFormat="1" x14ac:dyDescent="0.35">
      <c r="A28" s="7">
        <v>25</v>
      </c>
      <c r="B28" s="45"/>
      <c r="C28" s="8" t="s">
        <v>26</v>
      </c>
    </row>
    <row r="29" spans="1:50" s="4" customFormat="1" x14ac:dyDescent="0.35">
      <c r="A29" s="7">
        <v>26</v>
      </c>
      <c r="B29" s="45"/>
      <c r="C29" s="8" t="s">
        <v>28</v>
      </c>
    </row>
    <row r="30" spans="1:50" s="4" customFormat="1" x14ac:dyDescent="0.35">
      <c r="A30" s="7">
        <v>27</v>
      </c>
      <c r="B30" s="45"/>
      <c r="C30" s="8" t="s">
        <v>29</v>
      </c>
    </row>
    <row r="31" spans="1:50" s="4" customFormat="1" x14ac:dyDescent="0.35">
      <c r="A31" s="7">
        <v>28</v>
      </c>
      <c r="B31" s="45"/>
      <c r="C31" s="8" t="s">
        <v>31</v>
      </c>
    </row>
    <row r="32" spans="1:50" x14ac:dyDescent="0.35">
      <c r="A32" s="7">
        <v>29</v>
      </c>
      <c r="B32" s="45"/>
      <c r="C32" s="8" t="s">
        <v>32</v>
      </c>
      <c r="D32" s="4"/>
      <c r="E32" s="4"/>
      <c r="F32" s="4"/>
      <c r="G32" s="4"/>
      <c r="H32" s="4"/>
      <c r="I32" s="4"/>
      <c r="J32" s="4"/>
      <c r="K32" s="4"/>
      <c r="AO32" s="4"/>
      <c r="AP32" s="4"/>
      <c r="AQ32" s="4"/>
      <c r="AR32" s="4"/>
      <c r="AS32" s="4"/>
      <c r="AT32" s="4"/>
      <c r="AU32" s="4"/>
      <c r="AV32" s="4"/>
      <c r="AW32" s="4"/>
      <c r="AX32" s="4"/>
    </row>
    <row r="33" spans="1:50" x14ac:dyDescent="0.35">
      <c r="A33" s="7">
        <v>30</v>
      </c>
      <c r="B33" s="45"/>
      <c r="C33" s="6" t="s">
        <v>34</v>
      </c>
      <c r="AO33" s="4"/>
      <c r="AP33" s="4"/>
      <c r="AQ33" s="4"/>
      <c r="AR33" s="4"/>
      <c r="AS33" s="4"/>
      <c r="AT33" s="4"/>
      <c r="AU33" s="4"/>
      <c r="AV33" s="4"/>
      <c r="AW33" s="4"/>
      <c r="AX33" s="4"/>
    </row>
    <row r="34" spans="1:50" x14ac:dyDescent="0.35">
      <c r="A34" s="7">
        <v>31</v>
      </c>
      <c r="B34" s="45"/>
      <c r="C34" s="6" t="s">
        <v>35</v>
      </c>
    </row>
    <row r="35" spans="1:50" x14ac:dyDescent="0.35">
      <c r="A35" s="7">
        <v>32</v>
      </c>
      <c r="B35" s="45"/>
      <c r="C35" s="6" t="s">
        <v>37</v>
      </c>
    </row>
    <row r="36" spans="1:50" x14ac:dyDescent="0.35">
      <c r="A36" s="7">
        <v>33</v>
      </c>
      <c r="B36" s="46"/>
      <c r="C36" s="6" t="s">
        <v>38</v>
      </c>
    </row>
    <row r="38" spans="1:50" x14ac:dyDescent="0.35">
      <c r="A38" s="2" t="s">
        <v>47</v>
      </c>
    </row>
  </sheetData>
  <mergeCells count="20">
    <mergeCell ref="C1:D1"/>
    <mergeCell ref="B4:B10"/>
    <mergeCell ref="B11:B15"/>
    <mergeCell ref="B16:B22"/>
    <mergeCell ref="B23:B36"/>
    <mergeCell ref="M13:O13"/>
    <mergeCell ref="T13:V13"/>
    <mergeCell ref="AA14:AG21"/>
    <mergeCell ref="AA13:AG13"/>
    <mergeCell ref="M2:O2"/>
    <mergeCell ref="P2:R2"/>
    <mergeCell ref="S2:U2"/>
    <mergeCell ref="V2:X2"/>
    <mergeCell ref="Y2:AA2"/>
    <mergeCell ref="AO2:AX16"/>
    <mergeCell ref="AO1:AX1"/>
    <mergeCell ref="AO18:AX18"/>
    <mergeCell ref="AO19:AX25"/>
    <mergeCell ref="AB2:AD2"/>
    <mergeCell ref="AE2:AG2"/>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20F3-6CDE-44F3-82AA-2B186C090126}">
  <dimension ref="A1:V28"/>
  <sheetViews>
    <sheetView workbookViewId="0">
      <selection activeCell="L32" sqref="L32"/>
    </sheetView>
  </sheetViews>
  <sheetFormatPr defaultRowHeight="14.5" x14ac:dyDescent="0.35"/>
  <cols>
    <col min="1" max="1" width="62.90625" bestFit="1" customWidth="1"/>
    <col min="2" max="2" width="31.6328125" bestFit="1" customWidth="1"/>
    <col min="3" max="3" width="23.08984375" bestFit="1" customWidth="1"/>
    <col min="4" max="4" width="23.54296875" bestFit="1" customWidth="1"/>
    <col min="5" max="5" width="18.90625" bestFit="1" customWidth="1"/>
    <col min="6" max="6" width="28.81640625" bestFit="1" customWidth="1"/>
    <col min="8" max="8" width="31.6328125" bestFit="1" customWidth="1"/>
    <col min="9" max="13" width="12.90625" bestFit="1" customWidth="1"/>
    <col min="14" max="14" width="14" bestFit="1" customWidth="1"/>
    <col min="15" max="16" width="11.08984375" customWidth="1"/>
    <col min="17" max="17" width="4.453125" customWidth="1"/>
  </cols>
  <sheetData>
    <row r="1" spans="1:22" ht="15.5" x14ac:dyDescent="0.35">
      <c r="A1" s="12" t="s">
        <v>79</v>
      </c>
      <c r="B1" s="11"/>
      <c r="C1" s="11"/>
      <c r="D1" s="11"/>
      <c r="E1" s="11"/>
      <c r="F1" s="11"/>
    </row>
    <row r="2" spans="1:22" ht="15.5" x14ac:dyDescent="0.35">
      <c r="A2" s="3"/>
      <c r="B2" s="7" t="s">
        <v>13</v>
      </c>
      <c r="C2" s="3" t="s">
        <v>15</v>
      </c>
      <c r="D2" s="3" t="s">
        <v>80</v>
      </c>
      <c r="E2" s="7" t="s">
        <v>16</v>
      </c>
      <c r="F2" s="3" t="s">
        <v>81</v>
      </c>
    </row>
    <row r="3" spans="1:22" ht="15.5" x14ac:dyDescent="0.35">
      <c r="A3" s="7" t="s">
        <v>13</v>
      </c>
      <c r="B3" s="3">
        <v>1</v>
      </c>
      <c r="C3" s="3">
        <v>1</v>
      </c>
      <c r="D3" s="3">
        <v>2</v>
      </c>
      <c r="E3" s="3">
        <v>1</v>
      </c>
      <c r="F3" s="3">
        <v>1</v>
      </c>
    </row>
    <row r="4" spans="1:22" x14ac:dyDescent="0.35">
      <c r="A4" s="3" t="s">
        <v>15</v>
      </c>
      <c r="B4" s="3">
        <f>1/C3</f>
        <v>1</v>
      </c>
      <c r="C4" s="3">
        <v>1</v>
      </c>
      <c r="D4" s="3">
        <f>1/5</f>
        <v>0.2</v>
      </c>
      <c r="E4" s="3">
        <v>1</v>
      </c>
      <c r="F4" s="3">
        <v>1</v>
      </c>
    </row>
    <row r="5" spans="1:22" x14ac:dyDescent="0.35">
      <c r="A5" s="3" t="s">
        <v>80</v>
      </c>
      <c r="B5" s="3">
        <f>1/D3</f>
        <v>0.5</v>
      </c>
      <c r="C5" s="3">
        <f>1/D4</f>
        <v>5</v>
      </c>
      <c r="D5" s="3">
        <v>1</v>
      </c>
      <c r="E5" s="3">
        <v>2</v>
      </c>
      <c r="F5" s="3">
        <v>1</v>
      </c>
    </row>
    <row r="6" spans="1:22" ht="15.5" x14ac:dyDescent="0.35">
      <c r="A6" s="7" t="s">
        <v>16</v>
      </c>
      <c r="B6" s="3">
        <f>1/E3</f>
        <v>1</v>
      </c>
      <c r="C6" s="3">
        <f>1/E4</f>
        <v>1</v>
      </c>
      <c r="D6" s="3">
        <f>1/E5</f>
        <v>0.5</v>
      </c>
      <c r="E6" s="3">
        <v>1</v>
      </c>
      <c r="F6" s="3">
        <v>2</v>
      </c>
    </row>
    <row r="7" spans="1:22" x14ac:dyDescent="0.35">
      <c r="A7" s="3" t="s">
        <v>81</v>
      </c>
      <c r="B7" s="3">
        <f>1/F3</f>
        <v>1</v>
      </c>
      <c r="C7" s="3">
        <f>1/F4</f>
        <v>1</v>
      </c>
      <c r="D7" s="3">
        <f>1/F5</f>
        <v>1</v>
      </c>
      <c r="E7" s="3">
        <f>1/F6</f>
        <v>0.5</v>
      </c>
      <c r="F7" s="3">
        <v>1</v>
      </c>
    </row>
    <row r="9" spans="1:22" ht="15.5" x14ac:dyDescent="0.35">
      <c r="A9" s="7" t="s">
        <v>48</v>
      </c>
      <c r="B9" s="36" t="s">
        <v>13</v>
      </c>
      <c r="C9" s="37"/>
      <c r="D9" s="38"/>
      <c r="E9" s="36" t="s">
        <v>15</v>
      </c>
      <c r="F9" s="37"/>
      <c r="G9" s="38"/>
      <c r="H9" s="36" t="s">
        <v>80</v>
      </c>
      <c r="I9" s="37"/>
      <c r="J9" s="38"/>
      <c r="K9" s="36" t="s">
        <v>16</v>
      </c>
      <c r="L9" s="37"/>
      <c r="M9" s="38"/>
      <c r="N9" s="36" t="s">
        <v>81</v>
      </c>
      <c r="O9" s="37"/>
      <c r="P9" s="38"/>
    </row>
    <row r="10" spans="1:22" ht="15.5" x14ac:dyDescent="0.35">
      <c r="A10" s="7" t="s">
        <v>13</v>
      </c>
      <c r="B10" s="13">
        <v>1</v>
      </c>
      <c r="C10" s="13">
        <v>1</v>
      </c>
      <c r="D10" s="13">
        <v>1</v>
      </c>
      <c r="E10" s="13">
        <v>1</v>
      </c>
      <c r="F10" s="13">
        <v>1</v>
      </c>
      <c r="G10" s="13">
        <v>1</v>
      </c>
      <c r="H10" s="13">
        <v>2</v>
      </c>
      <c r="I10" s="13">
        <v>3</v>
      </c>
      <c r="J10" s="13">
        <v>4</v>
      </c>
      <c r="K10" s="13">
        <v>1</v>
      </c>
      <c r="L10" s="13">
        <v>1</v>
      </c>
      <c r="M10" s="13">
        <v>1</v>
      </c>
      <c r="N10" s="13">
        <v>1</v>
      </c>
      <c r="O10" s="13">
        <v>1</v>
      </c>
      <c r="P10" s="13">
        <v>1</v>
      </c>
    </row>
    <row r="11" spans="1:22" ht="15.5" x14ac:dyDescent="0.35">
      <c r="A11" s="3" t="s">
        <v>15</v>
      </c>
      <c r="B11" s="13">
        <f>1/E10</f>
        <v>1</v>
      </c>
      <c r="C11" s="13">
        <f t="shared" ref="C11:D11" si="0">1/F10</f>
        <v>1</v>
      </c>
      <c r="D11" s="13">
        <f t="shared" si="0"/>
        <v>1</v>
      </c>
      <c r="E11" s="13">
        <v>1</v>
      </c>
      <c r="F11" s="13">
        <v>1</v>
      </c>
      <c r="G11" s="13">
        <v>1</v>
      </c>
      <c r="H11" s="13">
        <f>1/4</f>
        <v>0.25</v>
      </c>
      <c r="I11" s="13">
        <f>1/5</f>
        <v>0.2</v>
      </c>
      <c r="J11" s="13">
        <f>1/6</f>
        <v>0.16666666666666666</v>
      </c>
      <c r="K11" s="13">
        <v>1</v>
      </c>
      <c r="L11" s="13">
        <v>1</v>
      </c>
      <c r="M11" s="13">
        <v>1</v>
      </c>
      <c r="N11" s="13">
        <v>1</v>
      </c>
      <c r="O11" s="13">
        <v>1</v>
      </c>
      <c r="P11" s="13">
        <v>1</v>
      </c>
    </row>
    <row r="12" spans="1:22" ht="15.5" x14ac:dyDescent="0.35">
      <c r="A12" s="3" t="s">
        <v>80</v>
      </c>
      <c r="B12" s="13">
        <f>1/H10</f>
        <v>0.5</v>
      </c>
      <c r="C12" s="13">
        <f t="shared" ref="C12:D12" si="1">1/I10</f>
        <v>0.33333333333333331</v>
      </c>
      <c r="D12" s="13">
        <f t="shared" si="1"/>
        <v>0.25</v>
      </c>
      <c r="E12" s="13">
        <f>1/H11</f>
        <v>4</v>
      </c>
      <c r="F12" s="13">
        <f t="shared" ref="F12:G12" si="2">1/I11</f>
        <v>5</v>
      </c>
      <c r="G12" s="13">
        <f t="shared" si="2"/>
        <v>6</v>
      </c>
      <c r="H12" s="13">
        <v>1</v>
      </c>
      <c r="I12" s="13">
        <v>1</v>
      </c>
      <c r="J12" s="13">
        <v>1</v>
      </c>
      <c r="K12" s="13">
        <v>2</v>
      </c>
      <c r="L12" s="13">
        <v>3</v>
      </c>
      <c r="M12" s="13">
        <v>4</v>
      </c>
      <c r="N12" s="13">
        <v>1</v>
      </c>
      <c r="O12" s="13">
        <v>1</v>
      </c>
      <c r="P12" s="13">
        <v>1</v>
      </c>
    </row>
    <row r="13" spans="1:22" ht="15.5" x14ac:dyDescent="0.35">
      <c r="A13" s="7" t="s">
        <v>16</v>
      </c>
      <c r="B13" s="13">
        <f>1/K10</f>
        <v>1</v>
      </c>
      <c r="C13" s="13">
        <f t="shared" ref="C13:D13" si="3">1/L10</f>
        <v>1</v>
      </c>
      <c r="D13" s="13">
        <f t="shared" si="3"/>
        <v>1</v>
      </c>
      <c r="E13" s="13">
        <f>1/K11</f>
        <v>1</v>
      </c>
      <c r="F13" s="13">
        <f t="shared" ref="F13:G13" si="4">1/L11</f>
        <v>1</v>
      </c>
      <c r="G13" s="13">
        <f t="shared" si="4"/>
        <v>1</v>
      </c>
      <c r="H13" s="13">
        <f>1/K12</f>
        <v>0.5</v>
      </c>
      <c r="I13" s="13">
        <f t="shared" ref="I13:J13" si="5">1/L12</f>
        <v>0.33333333333333331</v>
      </c>
      <c r="J13" s="13">
        <f t="shared" si="5"/>
        <v>0.25</v>
      </c>
      <c r="K13" s="13">
        <v>1</v>
      </c>
      <c r="L13" s="13">
        <v>1</v>
      </c>
      <c r="M13" s="13">
        <v>1</v>
      </c>
      <c r="N13" s="13">
        <v>2</v>
      </c>
      <c r="O13" s="13">
        <v>3</v>
      </c>
      <c r="P13" s="13">
        <v>4</v>
      </c>
    </row>
    <row r="14" spans="1:22" ht="15.5" x14ac:dyDescent="0.35">
      <c r="A14" s="3" t="s">
        <v>81</v>
      </c>
      <c r="B14" s="13">
        <f>1/N10</f>
        <v>1</v>
      </c>
      <c r="C14" s="13">
        <f t="shared" ref="C14:D14" si="6">1/O10</f>
        <v>1</v>
      </c>
      <c r="D14" s="13">
        <f t="shared" si="6"/>
        <v>1</v>
      </c>
      <c r="E14" s="13">
        <f>1/N11</f>
        <v>1</v>
      </c>
      <c r="F14" s="13">
        <f t="shared" ref="F14:G14" si="7">1/O11</f>
        <v>1</v>
      </c>
      <c r="G14" s="13">
        <f t="shared" si="7"/>
        <v>1</v>
      </c>
      <c r="H14" s="13">
        <f>1/N12</f>
        <v>1</v>
      </c>
      <c r="I14" s="13">
        <f t="shared" ref="I14:J14" si="8">1/O12</f>
        <v>1</v>
      </c>
      <c r="J14" s="13">
        <f t="shared" si="8"/>
        <v>1</v>
      </c>
      <c r="K14" s="13">
        <f>1/N13</f>
        <v>0.5</v>
      </c>
      <c r="L14" s="13">
        <f t="shared" ref="L14:M14" si="9">1/O13</f>
        <v>0.33333333333333331</v>
      </c>
      <c r="M14" s="13">
        <f t="shared" si="9"/>
        <v>0.25</v>
      </c>
      <c r="N14" s="13">
        <v>1</v>
      </c>
      <c r="O14" s="13">
        <v>1</v>
      </c>
      <c r="P14" s="13">
        <v>1</v>
      </c>
    </row>
    <row r="15" spans="1:22" ht="15.5" x14ac:dyDescent="0.35">
      <c r="A15" s="2"/>
      <c r="B15" s="2"/>
      <c r="C15" s="2"/>
      <c r="D15" s="2"/>
      <c r="E15" s="2"/>
      <c r="F15" s="2"/>
      <c r="G15" s="2"/>
      <c r="H15" s="2"/>
      <c r="I15" s="2"/>
      <c r="J15" s="2"/>
      <c r="K15" s="2"/>
      <c r="L15" s="2"/>
      <c r="M15" s="2"/>
      <c r="N15" s="2"/>
      <c r="O15" s="2"/>
      <c r="P15" s="2"/>
      <c r="Q15" s="2"/>
      <c r="R15" s="2"/>
      <c r="S15" s="2"/>
      <c r="T15" s="2"/>
      <c r="U15" s="2"/>
      <c r="V15" s="2"/>
    </row>
    <row r="16" spans="1:22" ht="15.5" x14ac:dyDescent="0.35">
      <c r="A16" s="2" t="s">
        <v>69</v>
      </c>
      <c r="B16" s="2"/>
      <c r="C16" s="2"/>
      <c r="D16" s="2"/>
      <c r="E16" s="2"/>
      <c r="F16" s="2"/>
      <c r="G16" s="2"/>
      <c r="H16" s="2"/>
      <c r="I16" s="2"/>
      <c r="J16" s="2"/>
      <c r="K16" s="2"/>
      <c r="L16" s="2"/>
      <c r="M16" s="2"/>
      <c r="N16" s="2"/>
      <c r="O16" s="2"/>
      <c r="P16" s="2"/>
      <c r="Q16" s="2"/>
      <c r="R16" s="2"/>
      <c r="S16" s="2"/>
      <c r="T16" s="2"/>
      <c r="U16" s="2"/>
      <c r="V16" s="2"/>
    </row>
    <row r="17" spans="1:22" ht="15.5" x14ac:dyDescent="0.35">
      <c r="A17" s="2"/>
      <c r="B17" s="2"/>
      <c r="C17" s="2"/>
      <c r="D17" s="2"/>
      <c r="E17" s="2"/>
      <c r="F17" s="2"/>
      <c r="G17" s="2"/>
      <c r="H17" s="2"/>
      <c r="I17" s="2"/>
      <c r="J17" s="2"/>
      <c r="K17" s="2"/>
      <c r="L17" s="2"/>
      <c r="M17" s="2"/>
      <c r="N17" s="2"/>
      <c r="O17" s="2"/>
      <c r="P17" s="2"/>
      <c r="Q17" s="2"/>
      <c r="R17" s="2"/>
      <c r="S17" s="2"/>
      <c r="T17" s="2"/>
      <c r="U17" s="2"/>
      <c r="V17" s="2"/>
    </row>
    <row r="18" spans="1:22" ht="15.5" x14ac:dyDescent="0.35">
      <c r="A18" s="7" t="s">
        <v>48</v>
      </c>
      <c r="B18" s="35" t="s">
        <v>69</v>
      </c>
      <c r="C18" s="35"/>
      <c r="D18" s="35"/>
      <c r="E18" s="2"/>
      <c r="F18" s="2"/>
      <c r="G18" s="2"/>
      <c r="H18" s="7" t="s">
        <v>48</v>
      </c>
      <c r="I18" s="35" t="s">
        <v>73</v>
      </c>
      <c r="J18" s="35"/>
      <c r="K18" s="35"/>
      <c r="L18" s="24" t="s">
        <v>74</v>
      </c>
      <c r="M18" s="23" t="s">
        <v>75</v>
      </c>
      <c r="N18" s="23" t="s">
        <v>76</v>
      </c>
      <c r="O18" s="2"/>
      <c r="P18" s="35" t="s">
        <v>77</v>
      </c>
      <c r="Q18" s="35"/>
      <c r="R18" s="35"/>
      <c r="S18" s="35"/>
      <c r="T18" s="35"/>
      <c r="U18" s="35"/>
      <c r="V18" s="35"/>
    </row>
    <row r="19" spans="1:22" ht="15.5" x14ac:dyDescent="0.35">
      <c r="A19" s="7" t="s">
        <v>13</v>
      </c>
      <c r="B19" s="23">
        <f>GEOMEAN(B10,E10,H10,K10,N10)</f>
        <v>1.1486983549970351</v>
      </c>
      <c r="C19" s="23">
        <f>GEOMEAN(C10,F10,I10,L10,O10)</f>
        <v>1.2457309396155174</v>
      </c>
      <c r="D19" s="23">
        <f>GEOMEAN(D10,G10,J10,M10,P10)</f>
        <v>1.3195079107728942</v>
      </c>
      <c r="E19" s="2"/>
      <c r="F19" s="2"/>
      <c r="G19" s="2"/>
      <c r="H19" s="7" t="s">
        <v>13</v>
      </c>
      <c r="I19" s="23">
        <f>B19*$B$26</f>
        <v>0.22059967946104503</v>
      </c>
      <c r="J19" s="23">
        <f>C19*$C$26</f>
        <v>0.24174953096197843</v>
      </c>
      <c r="K19" s="23">
        <f>D19*$D$26</f>
        <v>0.2588988734077517</v>
      </c>
      <c r="L19" s="23">
        <f>AVERAGE(I19:K19)</f>
        <v>0.24041602794359171</v>
      </c>
      <c r="M19" s="23">
        <f>L19/$L$24</f>
        <v>0.2403791311453306</v>
      </c>
      <c r="N19" s="28">
        <f>M19</f>
        <v>0.2403791311453306</v>
      </c>
      <c r="O19" s="2"/>
      <c r="P19" s="34" t="s">
        <v>104</v>
      </c>
      <c r="Q19" s="34"/>
      <c r="R19" s="34"/>
      <c r="S19" s="34"/>
      <c r="T19" s="34"/>
      <c r="U19" s="34"/>
      <c r="V19" s="34"/>
    </row>
    <row r="20" spans="1:22" ht="15.5" x14ac:dyDescent="0.35">
      <c r="A20" s="3" t="s">
        <v>15</v>
      </c>
      <c r="B20" s="23">
        <f>GEOMEAN(B11,E11,H11,K11,N11)</f>
        <v>0.75785828325519911</v>
      </c>
      <c r="C20" s="23">
        <f t="shared" ref="C20:D23" si="10">GEOMEAN(C11,F11,I11,L11,O11)</f>
        <v>0.72477966367769553</v>
      </c>
      <c r="D20" s="23">
        <f t="shared" si="10"/>
        <v>0.69882711877157921</v>
      </c>
      <c r="E20" s="2"/>
      <c r="F20" s="2"/>
      <c r="G20" s="2"/>
      <c r="H20" s="3" t="s">
        <v>15</v>
      </c>
      <c r="I20" s="23">
        <f>B20*$B$26</f>
        <v>0.14554151108140684</v>
      </c>
      <c r="J20" s="23">
        <f>C20*$C$26</f>
        <v>0.14065247813379492</v>
      </c>
      <c r="K20" s="23">
        <f>D20*$D$26</f>
        <v>0.13711592956708449</v>
      </c>
      <c r="L20" s="23">
        <f t="shared" ref="L20:L23" si="11">AVERAGE(I20:K20)</f>
        <v>0.14110330626076209</v>
      </c>
      <c r="M20" s="23">
        <f>L20/$L$24</f>
        <v>0.14108165104804765</v>
      </c>
      <c r="N20" s="28">
        <f t="shared" ref="N20:N23" si="12">M20</f>
        <v>0.14108165104804765</v>
      </c>
      <c r="O20" s="2"/>
      <c r="P20" s="34"/>
      <c r="Q20" s="34"/>
      <c r="R20" s="34"/>
      <c r="S20" s="34"/>
      <c r="T20" s="34"/>
      <c r="U20" s="34"/>
      <c r="V20" s="34"/>
    </row>
    <row r="21" spans="1:22" ht="15.5" x14ac:dyDescent="0.35">
      <c r="A21" s="3" t="s">
        <v>80</v>
      </c>
      <c r="B21" s="23">
        <f t="shared" ref="B21:B23" si="13">GEOMEAN(B12,E12,H12,K12,N12)</f>
        <v>1.3195079107728942</v>
      </c>
      <c r="C21" s="23">
        <f t="shared" si="10"/>
        <v>1.3797296614612149</v>
      </c>
      <c r="D21" s="23">
        <f t="shared" si="10"/>
        <v>1.4309690811052556</v>
      </c>
      <c r="E21" s="4"/>
      <c r="F21" s="4"/>
      <c r="G21" s="4"/>
      <c r="H21" s="3" t="s">
        <v>80</v>
      </c>
      <c r="I21" s="23">
        <f>B21*$B$26</f>
        <v>0.25340248890977557</v>
      </c>
      <c r="J21" s="23">
        <f>C21*$C$26</f>
        <v>0.26775364398954771</v>
      </c>
      <c r="K21" s="23">
        <f>D21*$D$26</f>
        <v>0.28076851980559325</v>
      </c>
      <c r="L21" s="23">
        <f t="shared" si="11"/>
        <v>0.26730821756830553</v>
      </c>
      <c r="M21" s="23">
        <f>L21/$L$24</f>
        <v>0.26726719360887358</v>
      </c>
      <c r="N21" s="28">
        <f t="shared" si="12"/>
        <v>0.26726719360887358</v>
      </c>
      <c r="O21" s="4"/>
      <c r="P21" s="34"/>
      <c r="Q21" s="34"/>
      <c r="R21" s="34"/>
      <c r="S21" s="34"/>
      <c r="T21" s="34"/>
      <c r="U21" s="34"/>
      <c r="V21" s="34"/>
    </row>
    <row r="22" spans="1:22" ht="15.5" x14ac:dyDescent="0.35">
      <c r="A22" s="7" t="s">
        <v>16</v>
      </c>
      <c r="B22" s="23">
        <f>GEOMEAN(B13,E13,H13,K13,N13)</f>
        <v>1</v>
      </c>
      <c r="C22" s="23">
        <f t="shared" si="10"/>
        <v>1</v>
      </c>
      <c r="D22" s="23">
        <f t="shared" si="10"/>
        <v>1</v>
      </c>
      <c r="E22" s="4"/>
      <c r="F22" s="4"/>
      <c r="G22" s="4"/>
      <c r="H22" s="7" t="s">
        <v>16</v>
      </c>
      <c r="I22" s="23">
        <f>B22*$B$26</f>
        <v>0.19204317521775716</v>
      </c>
      <c r="J22" s="23">
        <f>C22*$C$26</f>
        <v>0.19406239603922179</v>
      </c>
      <c r="K22" s="23">
        <f>D22*$D$26</f>
        <v>0.19620865573750382</v>
      </c>
      <c r="L22" s="23">
        <f t="shared" si="11"/>
        <v>0.19410474233149425</v>
      </c>
      <c r="M22" s="23">
        <f>L22/$L$24</f>
        <v>0.19407495295521768</v>
      </c>
      <c r="N22" s="28">
        <f t="shared" si="12"/>
        <v>0.19407495295521768</v>
      </c>
      <c r="O22" s="4"/>
      <c r="P22" s="34"/>
      <c r="Q22" s="34"/>
      <c r="R22" s="34"/>
      <c r="S22" s="34"/>
      <c r="T22" s="34"/>
      <c r="U22" s="34"/>
      <c r="V22" s="34"/>
    </row>
    <row r="23" spans="1:22" ht="15.5" x14ac:dyDescent="0.35">
      <c r="A23" s="3" t="s">
        <v>81</v>
      </c>
      <c r="B23" s="23">
        <f t="shared" si="13"/>
        <v>0.87055056329612412</v>
      </c>
      <c r="C23" s="23">
        <f t="shared" si="10"/>
        <v>0.8027415617602307</v>
      </c>
      <c r="D23" s="23">
        <f t="shared" si="10"/>
        <v>0.75785828325519911</v>
      </c>
      <c r="E23" s="4"/>
      <c r="F23" s="4"/>
      <c r="G23" s="4"/>
      <c r="H23" s="3" t="s">
        <v>81</v>
      </c>
      <c r="I23" s="23">
        <f>B23*$B$26</f>
        <v>0.16718329436299476</v>
      </c>
      <c r="J23" s="23">
        <f>C23*$C$26</f>
        <v>0.15578195087545732</v>
      </c>
      <c r="K23" s="23">
        <f>D23*$D$26</f>
        <v>0.14869835499703501</v>
      </c>
      <c r="L23" s="23">
        <f t="shared" si="11"/>
        <v>0.15722120007849569</v>
      </c>
      <c r="M23" s="23">
        <f>L23/$L$24</f>
        <v>0.15719707124253046</v>
      </c>
      <c r="N23" s="28">
        <f t="shared" si="12"/>
        <v>0.15719707124253046</v>
      </c>
      <c r="O23" s="4"/>
      <c r="P23" s="34"/>
      <c r="Q23" s="34"/>
      <c r="R23" s="34"/>
      <c r="S23" s="34"/>
      <c r="T23" s="34"/>
      <c r="U23" s="34"/>
      <c r="V23" s="34"/>
    </row>
    <row r="24" spans="1:22" ht="15.5" x14ac:dyDescent="0.35">
      <c r="A24" s="26" t="s">
        <v>70</v>
      </c>
      <c r="B24" s="23">
        <f>SUM(B19:B23)</f>
        <v>5.0966151123212526</v>
      </c>
      <c r="C24" s="23">
        <f t="shared" ref="C24:D24" si="14">SUM(C19:C23)</f>
        <v>5.1529818265146581</v>
      </c>
      <c r="D24" s="23">
        <f t="shared" si="14"/>
        <v>5.2071623939049285</v>
      </c>
      <c r="E24" s="4"/>
      <c r="F24" s="4"/>
      <c r="G24" s="4"/>
      <c r="H24" s="26" t="s">
        <v>70</v>
      </c>
      <c r="I24" s="23"/>
      <c r="J24" s="23"/>
      <c r="K24" s="23"/>
      <c r="L24" s="25">
        <f>SUM(L19:L23)</f>
        <v>1.0001534941826493</v>
      </c>
      <c r="M24" s="25">
        <f>SUM(M19:M23)</f>
        <v>1</v>
      </c>
      <c r="N24" s="27">
        <f>SUM(N19:N23)</f>
        <v>1</v>
      </c>
      <c r="O24" s="4"/>
      <c r="P24" s="34"/>
      <c r="Q24" s="34"/>
      <c r="R24" s="34"/>
      <c r="S24" s="34"/>
      <c r="T24" s="34"/>
      <c r="U24" s="34"/>
      <c r="V24" s="34"/>
    </row>
    <row r="25" spans="1:22" ht="15.5" x14ac:dyDescent="0.35">
      <c r="A25" s="26" t="s">
        <v>71</v>
      </c>
      <c r="B25" s="23">
        <f>1/B24</f>
        <v>0.19620865573750382</v>
      </c>
      <c r="C25" s="23">
        <f t="shared" ref="C25:D25" si="15">1/C24</f>
        <v>0.19406239603922179</v>
      </c>
      <c r="D25" s="23">
        <f t="shared" si="15"/>
        <v>0.19204317521775716</v>
      </c>
      <c r="E25" s="4"/>
      <c r="F25" s="4"/>
      <c r="G25" s="4"/>
      <c r="H25" s="4"/>
      <c r="I25" s="4"/>
      <c r="J25" s="4"/>
      <c r="K25" s="4"/>
      <c r="L25" s="4"/>
      <c r="M25" s="4"/>
      <c r="N25" s="4"/>
      <c r="O25" s="4"/>
      <c r="P25" s="34"/>
      <c r="Q25" s="34"/>
      <c r="R25" s="34"/>
      <c r="S25" s="34"/>
      <c r="T25" s="34"/>
      <c r="U25" s="34"/>
      <c r="V25" s="34"/>
    </row>
    <row r="26" spans="1:22" ht="15.5" x14ac:dyDescent="0.35">
      <c r="A26" s="26" t="s">
        <v>72</v>
      </c>
      <c r="B26" s="25">
        <f>MIN(B25:D25)</f>
        <v>0.19204317521775716</v>
      </c>
      <c r="C26" s="25">
        <f>MEDIAN(B25:D25)</f>
        <v>0.19406239603922179</v>
      </c>
      <c r="D26" s="25">
        <f>MAX(B25:D25)</f>
        <v>0.19620865573750382</v>
      </c>
      <c r="E26" s="4"/>
      <c r="F26" s="4"/>
      <c r="G26" s="4"/>
      <c r="H26" s="4"/>
      <c r="I26" s="4"/>
      <c r="J26" s="4"/>
      <c r="K26" s="4"/>
      <c r="L26" s="4"/>
      <c r="M26" s="4"/>
      <c r="N26" s="4"/>
      <c r="O26" s="4"/>
      <c r="P26" s="34"/>
      <c r="Q26" s="34"/>
      <c r="R26" s="34"/>
      <c r="S26" s="34"/>
      <c r="T26" s="34"/>
      <c r="U26" s="34"/>
      <c r="V26" s="34"/>
    </row>
    <row r="27" spans="1:22" ht="15.5" x14ac:dyDescent="0.35">
      <c r="E27" s="4"/>
      <c r="F27" s="4"/>
      <c r="G27" s="4"/>
      <c r="O27" s="4"/>
      <c r="P27" s="4"/>
      <c r="Q27" s="4"/>
      <c r="R27" s="4"/>
      <c r="S27" s="4"/>
      <c r="T27" s="4"/>
      <c r="U27" s="4"/>
      <c r="V27" s="4"/>
    </row>
    <row r="28" spans="1:22" ht="15.5" x14ac:dyDescent="0.35">
      <c r="E28" s="4"/>
      <c r="F28" s="4"/>
      <c r="G28" s="4"/>
      <c r="O28" s="4"/>
      <c r="P28" s="4"/>
      <c r="Q28" s="4"/>
      <c r="R28" s="4"/>
      <c r="S28" s="4"/>
      <c r="T28" s="4"/>
      <c r="U28" s="4"/>
      <c r="V28" s="4"/>
    </row>
  </sheetData>
  <mergeCells count="9">
    <mergeCell ref="B18:D18"/>
    <mergeCell ref="I18:K18"/>
    <mergeCell ref="P18:V18"/>
    <mergeCell ref="P19:V26"/>
    <mergeCell ref="B9:D9"/>
    <mergeCell ref="E9:G9"/>
    <mergeCell ref="H9:J9"/>
    <mergeCell ref="K9:M9"/>
    <mergeCell ref="N9:P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2AF1-F593-4B10-9B6C-A854B5482221}">
  <dimension ref="A1:V33"/>
  <sheetViews>
    <sheetView workbookViewId="0">
      <selection activeCell="N25" sqref="N25"/>
    </sheetView>
  </sheetViews>
  <sheetFormatPr defaultRowHeight="14.5" x14ac:dyDescent="0.35"/>
  <cols>
    <col min="1" max="1" width="89.26953125" bestFit="1" customWidth="1"/>
    <col min="2" max="2" width="12.26953125" bestFit="1" customWidth="1"/>
    <col min="3" max="3" width="5.54296875" bestFit="1" customWidth="1"/>
    <col min="4" max="4" width="6.90625" bestFit="1" customWidth="1"/>
    <col min="5" max="6" width="11.81640625" bestFit="1" customWidth="1"/>
    <col min="7" max="7" width="5.6328125" bestFit="1" customWidth="1"/>
    <col min="8" max="8" width="11.90625" bestFit="1" customWidth="1"/>
  </cols>
  <sheetData>
    <row r="1" spans="1:22" ht="15.5" x14ac:dyDescent="0.35">
      <c r="A1" s="12" t="s">
        <v>82</v>
      </c>
      <c r="B1" s="11"/>
      <c r="C1" s="11"/>
      <c r="D1" s="11"/>
      <c r="E1" s="11"/>
      <c r="F1" s="11"/>
      <c r="G1" s="11"/>
      <c r="H1" s="11"/>
    </row>
    <row r="2" spans="1:22" ht="15.5" x14ac:dyDescent="0.35">
      <c r="A2" s="3"/>
      <c r="B2" s="7" t="s">
        <v>18</v>
      </c>
      <c r="C2" s="3" t="s">
        <v>83</v>
      </c>
      <c r="D2" s="3" t="s">
        <v>84</v>
      </c>
      <c r="E2" s="7" t="s">
        <v>85</v>
      </c>
      <c r="F2" s="3" t="s">
        <v>86</v>
      </c>
      <c r="G2" s="3" t="s">
        <v>87</v>
      </c>
      <c r="H2" s="7" t="s">
        <v>88</v>
      </c>
    </row>
    <row r="3" spans="1:22" ht="15.5" x14ac:dyDescent="0.35">
      <c r="A3" s="7" t="s">
        <v>18</v>
      </c>
      <c r="B3" s="3">
        <v>1</v>
      </c>
      <c r="C3" s="3">
        <v>1</v>
      </c>
      <c r="D3" s="3">
        <v>2</v>
      </c>
      <c r="E3" s="3">
        <f>1/2</f>
        <v>0.5</v>
      </c>
      <c r="F3" s="3">
        <v>1</v>
      </c>
      <c r="G3" s="3">
        <v>1</v>
      </c>
      <c r="H3" s="3">
        <v>3</v>
      </c>
    </row>
    <row r="4" spans="1:22" x14ac:dyDescent="0.35">
      <c r="A4" s="3" t="s">
        <v>83</v>
      </c>
      <c r="B4" s="3">
        <f>1/C3</f>
        <v>1</v>
      </c>
      <c r="C4" s="3">
        <v>1</v>
      </c>
      <c r="D4" s="3">
        <v>2</v>
      </c>
      <c r="E4" s="3">
        <f>1/3</f>
        <v>0.33333333333333331</v>
      </c>
      <c r="F4" s="3">
        <v>1</v>
      </c>
      <c r="G4" s="3">
        <v>2</v>
      </c>
      <c r="H4" s="3">
        <v>2</v>
      </c>
    </row>
    <row r="5" spans="1:22" x14ac:dyDescent="0.35">
      <c r="A5" s="3" t="s">
        <v>84</v>
      </c>
      <c r="B5" s="3">
        <f>1/D3</f>
        <v>0.5</v>
      </c>
      <c r="C5" s="3">
        <f>1/D4</f>
        <v>0.5</v>
      </c>
      <c r="D5" s="3">
        <v>1</v>
      </c>
      <c r="E5" s="3">
        <f>1/3</f>
        <v>0.33333333333333331</v>
      </c>
      <c r="F5" s="3">
        <f>1/3</f>
        <v>0.33333333333333331</v>
      </c>
      <c r="G5" s="3">
        <v>1</v>
      </c>
      <c r="H5" s="3">
        <f>1/2</f>
        <v>0.5</v>
      </c>
    </row>
    <row r="6" spans="1:22" ht="15.5" x14ac:dyDescent="0.35">
      <c r="A6" s="7" t="s">
        <v>85</v>
      </c>
      <c r="B6" s="3">
        <f>1/E3</f>
        <v>2</v>
      </c>
      <c r="C6" s="3">
        <f>1/E4</f>
        <v>3</v>
      </c>
      <c r="D6" s="3">
        <f>1/E5</f>
        <v>3</v>
      </c>
      <c r="E6" s="3">
        <v>1</v>
      </c>
      <c r="F6" s="3">
        <v>3</v>
      </c>
      <c r="G6" s="3">
        <v>3</v>
      </c>
      <c r="H6" s="3">
        <v>2</v>
      </c>
    </row>
    <row r="7" spans="1:22" x14ac:dyDescent="0.35">
      <c r="A7" s="3" t="s">
        <v>86</v>
      </c>
      <c r="B7" s="3">
        <f>1/F3</f>
        <v>1</v>
      </c>
      <c r="C7" s="3">
        <f>1/F4</f>
        <v>1</v>
      </c>
      <c r="D7" s="3">
        <f>1/F5</f>
        <v>3</v>
      </c>
      <c r="E7" s="3">
        <f>1/F6</f>
        <v>0.33333333333333331</v>
      </c>
      <c r="F7" s="3">
        <v>1</v>
      </c>
      <c r="G7" s="3">
        <v>1</v>
      </c>
      <c r="H7" s="3">
        <f>1/2</f>
        <v>0.5</v>
      </c>
    </row>
    <row r="8" spans="1:22" x14ac:dyDescent="0.35">
      <c r="A8" s="3" t="s">
        <v>87</v>
      </c>
      <c r="B8" s="3">
        <f>1/G3</f>
        <v>1</v>
      </c>
      <c r="C8" s="3">
        <f>1/G4</f>
        <v>0.5</v>
      </c>
      <c r="D8" s="3">
        <f>1/G5</f>
        <v>1</v>
      </c>
      <c r="E8" s="3">
        <f>1/G6</f>
        <v>0.33333333333333331</v>
      </c>
      <c r="F8" s="3">
        <f>1/G7</f>
        <v>1</v>
      </c>
      <c r="G8" s="3">
        <v>1</v>
      </c>
      <c r="H8" s="3">
        <v>2</v>
      </c>
    </row>
    <row r="9" spans="1:22" ht="15.5" x14ac:dyDescent="0.35">
      <c r="A9" s="7" t="s">
        <v>88</v>
      </c>
      <c r="B9" s="3">
        <f>1/H3</f>
        <v>0.33333333333333331</v>
      </c>
      <c r="C9" s="3">
        <f>1/H4</f>
        <v>0.5</v>
      </c>
      <c r="D9" s="3">
        <f>1/H5</f>
        <v>2</v>
      </c>
      <c r="E9" s="3">
        <f>1/H6</f>
        <v>0.5</v>
      </c>
      <c r="F9" s="3">
        <f>1/H7</f>
        <v>2</v>
      </c>
      <c r="G9" s="3">
        <f>1/H8</f>
        <v>0.5</v>
      </c>
      <c r="H9" s="3">
        <v>1</v>
      </c>
    </row>
    <row r="12" spans="1:22" ht="15.5" x14ac:dyDescent="0.35">
      <c r="A12" s="7" t="s">
        <v>48</v>
      </c>
      <c r="B12" s="36" t="s">
        <v>18</v>
      </c>
      <c r="C12" s="37"/>
      <c r="D12" s="38"/>
      <c r="E12" s="36" t="s">
        <v>83</v>
      </c>
      <c r="F12" s="37"/>
      <c r="G12" s="38"/>
      <c r="H12" s="36" t="s">
        <v>84</v>
      </c>
      <c r="I12" s="37"/>
      <c r="J12" s="38"/>
      <c r="K12" s="36" t="s">
        <v>85</v>
      </c>
      <c r="L12" s="37"/>
      <c r="M12" s="38"/>
      <c r="N12" s="36" t="s">
        <v>86</v>
      </c>
      <c r="O12" s="37"/>
      <c r="P12" s="38"/>
      <c r="Q12" s="36" t="s">
        <v>87</v>
      </c>
      <c r="R12" s="37"/>
      <c r="S12" s="38"/>
      <c r="T12" s="39" t="s">
        <v>88</v>
      </c>
      <c r="U12" s="39"/>
      <c r="V12" s="39"/>
    </row>
    <row r="13" spans="1:22" ht="15.5" x14ac:dyDescent="0.35">
      <c r="A13" s="7" t="s">
        <v>18</v>
      </c>
      <c r="B13" s="13">
        <v>1</v>
      </c>
      <c r="C13" s="13">
        <v>1</v>
      </c>
      <c r="D13" s="13">
        <v>1</v>
      </c>
      <c r="E13" s="13">
        <v>1</v>
      </c>
      <c r="F13" s="13">
        <v>1</v>
      </c>
      <c r="G13" s="13">
        <v>1</v>
      </c>
      <c r="H13" s="13">
        <v>2</v>
      </c>
      <c r="I13" s="13">
        <v>3</v>
      </c>
      <c r="J13" s="13">
        <v>4</v>
      </c>
      <c r="K13" s="13">
        <f>1/2</f>
        <v>0.5</v>
      </c>
      <c r="L13" s="13">
        <f>1/3</f>
        <v>0.33333333333333331</v>
      </c>
      <c r="M13" s="13">
        <f>1/4</f>
        <v>0.25</v>
      </c>
      <c r="N13" s="13">
        <v>1</v>
      </c>
      <c r="O13" s="13">
        <v>1</v>
      </c>
      <c r="P13" s="13">
        <v>1</v>
      </c>
      <c r="Q13" s="13">
        <v>1</v>
      </c>
      <c r="R13" s="13">
        <v>1</v>
      </c>
      <c r="S13" s="13">
        <v>1</v>
      </c>
      <c r="T13" s="13">
        <v>2</v>
      </c>
      <c r="U13" s="13">
        <v>3</v>
      </c>
      <c r="V13" s="13">
        <v>4</v>
      </c>
    </row>
    <row r="14" spans="1:22" ht="15.5" x14ac:dyDescent="0.35">
      <c r="A14" s="3" t="s">
        <v>83</v>
      </c>
      <c r="B14" s="13">
        <f>1/E13</f>
        <v>1</v>
      </c>
      <c r="C14" s="13">
        <f t="shared" ref="C14:D14" si="0">1/F13</f>
        <v>1</v>
      </c>
      <c r="D14" s="13">
        <f t="shared" si="0"/>
        <v>1</v>
      </c>
      <c r="E14" s="13">
        <v>1</v>
      </c>
      <c r="F14" s="13">
        <v>1</v>
      </c>
      <c r="G14" s="13">
        <v>1</v>
      </c>
      <c r="H14" s="13">
        <v>2</v>
      </c>
      <c r="I14" s="13">
        <v>3</v>
      </c>
      <c r="J14" s="13">
        <v>4</v>
      </c>
      <c r="K14" s="13">
        <f>1/2</f>
        <v>0.5</v>
      </c>
      <c r="L14" s="13">
        <f>1/3</f>
        <v>0.33333333333333331</v>
      </c>
      <c r="M14" s="13">
        <f>1/4</f>
        <v>0.25</v>
      </c>
      <c r="N14" s="13">
        <v>1</v>
      </c>
      <c r="O14" s="13">
        <v>1</v>
      </c>
      <c r="P14" s="13">
        <v>1</v>
      </c>
      <c r="Q14" s="13">
        <v>2</v>
      </c>
      <c r="R14" s="13">
        <v>3</v>
      </c>
      <c r="S14" s="13">
        <v>4</v>
      </c>
      <c r="T14" s="13">
        <v>2</v>
      </c>
      <c r="U14" s="13">
        <v>3</v>
      </c>
      <c r="V14" s="13">
        <v>4</v>
      </c>
    </row>
    <row r="15" spans="1:22" ht="15.5" x14ac:dyDescent="0.35">
      <c r="A15" s="3" t="s">
        <v>84</v>
      </c>
      <c r="B15" s="13">
        <f>1/H13</f>
        <v>0.5</v>
      </c>
      <c r="C15" s="13">
        <f t="shared" ref="C15:D15" si="1">1/I13</f>
        <v>0.33333333333333331</v>
      </c>
      <c r="D15" s="13">
        <f t="shared" si="1"/>
        <v>0.25</v>
      </c>
      <c r="E15" s="13">
        <f>1/H14</f>
        <v>0.5</v>
      </c>
      <c r="F15" s="13">
        <f t="shared" ref="F15:G15" si="2">1/I14</f>
        <v>0.33333333333333331</v>
      </c>
      <c r="G15" s="13">
        <f t="shared" si="2"/>
        <v>0.25</v>
      </c>
      <c r="H15" s="13">
        <v>1</v>
      </c>
      <c r="I15" s="13">
        <v>1</v>
      </c>
      <c r="J15" s="13">
        <v>1</v>
      </c>
      <c r="K15" s="13">
        <f>1/2</f>
        <v>0.5</v>
      </c>
      <c r="L15" s="13">
        <f>1/3</f>
        <v>0.33333333333333331</v>
      </c>
      <c r="M15" s="13">
        <f>1/4</f>
        <v>0.25</v>
      </c>
      <c r="N15" s="13">
        <f>1/2</f>
        <v>0.5</v>
      </c>
      <c r="O15" s="13">
        <f>1/3</f>
        <v>0.33333333333333331</v>
      </c>
      <c r="P15" s="13">
        <f>1/4</f>
        <v>0.25</v>
      </c>
      <c r="Q15" s="13">
        <v>1</v>
      </c>
      <c r="R15" s="13">
        <v>1</v>
      </c>
      <c r="S15" s="13">
        <v>1</v>
      </c>
      <c r="T15" s="13">
        <f>1/2</f>
        <v>0.5</v>
      </c>
      <c r="U15" s="13">
        <f>1/3</f>
        <v>0.33333333333333331</v>
      </c>
      <c r="V15" s="13">
        <f>1/4</f>
        <v>0.25</v>
      </c>
    </row>
    <row r="16" spans="1:22" ht="15.5" x14ac:dyDescent="0.35">
      <c r="A16" s="7" t="s">
        <v>85</v>
      </c>
      <c r="B16" s="13">
        <f>1/K13</f>
        <v>2</v>
      </c>
      <c r="C16" s="13">
        <f t="shared" ref="C16:D16" si="3">1/L13</f>
        <v>3</v>
      </c>
      <c r="D16" s="13">
        <f t="shared" si="3"/>
        <v>4</v>
      </c>
      <c r="E16" s="13">
        <f>1/K14</f>
        <v>2</v>
      </c>
      <c r="F16" s="13">
        <f t="shared" ref="F16:G16" si="4">1/L14</f>
        <v>3</v>
      </c>
      <c r="G16" s="13">
        <f t="shared" si="4"/>
        <v>4</v>
      </c>
      <c r="H16" s="13">
        <f>1/K15</f>
        <v>2</v>
      </c>
      <c r="I16" s="13">
        <f t="shared" ref="I16:J16" si="5">1/L15</f>
        <v>3</v>
      </c>
      <c r="J16" s="13">
        <f t="shared" si="5"/>
        <v>4</v>
      </c>
      <c r="K16" s="13">
        <v>1</v>
      </c>
      <c r="L16" s="13">
        <v>1</v>
      </c>
      <c r="M16" s="13">
        <v>1</v>
      </c>
      <c r="N16" s="13">
        <v>2</v>
      </c>
      <c r="O16" s="13">
        <v>3</v>
      </c>
      <c r="P16" s="13">
        <v>4</v>
      </c>
      <c r="Q16" s="13">
        <v>2</v>
      </c>
      <c r="R16" s="13">
        <v>3</v>
      </c>
      <c r="S16" s="13">
        <v>4</v>
      </c>
      <c r="T16" s="13">
        <v>2</v>
      </c>
      <c r="U16" s="13">
        <v>3</v>
      </c>
      <c r="V16" s="13">
        <v>4</v>
      </c>
    </row>
    <row r="17" spans="1:22" ht="15.5" x14ac:dyDescent="0.35">
      <c r="A17" s="3" t="s">
        <v>86</v>
      </c>
      <c r="B17" s="13">
        <f>1/N13</f>
        <v>1</v>
      </c>
      <c r="C17" s="13">
        <f t="shared" ref="C17:D17" si="6">1/O13</f>
        <v>1</v>
      </c>
      <c r="D17" s="13">
        <f t="shared" si="6"/>
        <v>1</v>
      </c>
      <c r="E17" s="13">
        <f>1/N14</f>
        <v>1</v>
      </c>
      <c r="F17" s="13">
        <f t="shared" ref="F17:G17" si="7">1/O14</f>
        <v>1</v>
      </c>
      <c r="G17" s="13">
        <f t="shared" si="7"/>
        <v>1</v>
      </c>
      <c r="H17" s="13">
        <f>1/N15</f>
        <v>2</v>
      </c>
      <c r="I17" s="13">
        <f t="shared" ref="I17:J17" si="8">1/O15</f>
        <v>3</v>
      </c>
      <c r="J17" s="13">
        <f t="shared" si="8"/>
        <v>4</v>
      </c>
      <c r="K17" s="13">
        <f>1/N16</f>
        <v>0.5</v>
      </c>
      <c r="L17" s="13">
        <f t="shared" ref="L17:M17" si="9">1/O16</f>
        <v>0.33333333333333331</v>
      </c>
      <c r="M17" s="13">
        <f t="shared" si="9"/>
        <v>0.25</v>
      </c>
      <c r="N17" s="13">
        <v>1</v>
      </c>
      <c r="O17" s="13">
        <v>1</v>
      </c>
      <c r="P17" s="13">
        <v>1</v>
      </c>
      <c r="Q17" s="13">
        <v>1</v>
      </c>
      <c r="R17" s="13">
        <v>1</v>
      </c>
      <c r="S17" s="13">
        <v>1</v>
      </c>
      <c r="T17" s="13">
        <f>1/2</f>
        <v>0.5</v>
      </c>
      <c r="U17" s="13">
        <f>1/3</f>
        <v>0.33333333333333331</v>
      </c>
      <c r="V17" s="13">
        <f>1/4</f>
        <v>0.25</v>
      </c>
    </row>
    <row r="18" spans="1:22" ht="15.5" x14ac:dyDescent="0.35">
      <c r="A18" s="3" t="s">
        <v>87</v>
      </c>
      <c r="B18" s="13">
        <f>1/Q13</f>
        <v>1</v>
      </c>
      <c r="C18" s="13">
        <f t="shared" ref="C18:D18" si="10">1/R13</f>
        <v>1</v>
      </c>
      <c r="D18" s="13">
        <f t="shared" si="10"/>
        <v>1</v>
      </c>
      <c r="E18" s="13">
        <f>1/Q14</f>
        <v>0.5</v>
      </c>
      <c r="F18" s="13">
        <f t="shared" ref="F18:G18" si="11">1/R14</f>
        <v>0.33333333333333331</v>
      </c>
      <c r="G18" s="13">
        <f t="shared" si="11"/>
        <v>0.25</v>
      </c>
      <c r="H18" s="13">
        <f>1/Q15</f>
        <v>1</v>
      </c>
      <c r="I18" s="13">
        <f t="shared" ref="I18:J18" si="12">1/R15</f>
        <v>1</v>
      </c>
      <c r="J18" s="13">
        <f t="shared" si="12"/>
        <v>1</v>
      </c>
      <c r="K18" s="13">
        <f>1/Q16</f>
        <v>0.5</v>
      </c>
      <c r="L18" s="13">
        <f t="shared" ref="L18:M18" si="13">1/R16</f>
        <v>0.33333333333333331</v>
      </c>
      <c r="M18" s="13">
        <f t="shared" si="13"/>
        <v>0.25</v>
      </c>
      <c r="N18" s="13">
        <f>1/Q17</f>
        <v>1</v>
      </c>
      <c r="O18" s="13">
        <f t="shared" ref="O18:P18" si="14">1/R17</f>
        <v>1</v>
      </c>
      <c r="P18" s="13">
        <f t="shared" si="14"/>
        <v>1</v>
      </c>
      <c r="Q18" s="13">
        <v>1</v>
      </c>
      <c r="R18" s="13">
        <v>1</v>
      </c>
      <c r="S18" s="13">
        <v>1</v>
      </c>
      <c r="T18" s="13">
        <v>2</v>
      </c>
      <c r="U18" s="13">
        <v>3</v>
      </c>
      <c r="V18" s="13">
        <v>4</v>
      </c>
    </row>
    <row r="19" spans="1:22" ht="15.5" x14ac:dyDescent="0.35">
      <c r="A19" s="7" t="s">
        <v>88</v>
      </c>
      <c r="B19" s="13">
        <f>1/T13</f>
        <v>0.5</v>
      </c>
      <c r="C19" s="13">
        <f t="shared" ref="C19:D19" si="15">1/U13</f>
        <v>0.33333333333333331</v>
      </c>
      <c r="D19" s="13">
        <f t="shared" si="15"/>
        <v>0.25</v>
      </c>
      <c r="E19" s="13">
        <f>1/T14</f>
        <v>0.5</v>
      </c>
      <c r="F19" s="13">
        <f t="shared" ref="F19:G19" si="16">1/U14</f>
        <v>0.33333333333333331</v>
      </c>
      <c r="G19" s="13">
        <f t="shared" si="16"/>
        <v>0.25</v>
      </c>
      <c r="H19" s="13">
        <f>1/T15</f>
        <v>2</v>
      </c>
      <c r="I19" s="13">
        <f t="shared" ref="I19:J19" si="17">1/U15</f>
        <v>3</v>
      </c>
      <c r="J19" s="13">
        <f t="shared" si="17"/>
        <v>4</v>
      </c>
      <c r="K19" s="13">
        <f>1/T16</f>
        <v>0.5</v>
      </c>
      <c r="L19" s="13">
        <f t="shared" ref="L19:M19" si="18">1/U16</f>
        <v>0.33333333333333331</v>
      </c>
      <c r="M19" s="13">
        <f t="shared" si="18"/>
        <v>0.25</v>
      </c>
      <c r="N19" s="13">
        <f>1/T17</f>
        <v>2</v>
      </c>
      <c r="O19" s="13">
        <f t="shared" ref="O19:P19" si="19">1/U17</f>
        <v>3</v>
      </c>
      <c r="P19" s="13">
        <f t="shared" si="19"/>
        <v>4</v>
      </c>
      <c r="Q19" s="13">
        <f>1/T18</f>
        <v>0.5</v>
      </c>
      <c r="R19" s="13">
        <f t="shared" ref="R19:S19" si="20">1/U18</f>
        <v>0.33333333333333331</v>
      </c>
      <c r="S19" s="13">
        <f t="shared" si="20"/>
        <v>0.25</v>
      </c>
      <c r="T19" s="13">
        <v>1</v>
      </c>
      <c r="U19" s="13">
        <v>1</v>
      </c>
      <c r="V19" s="13">
        <v>1</v>
      </c>
    </row>
    <row r="20" spans="1:22" ht="15.5" x14ac:dyDescent="0.35">
      <c r="A20" s="2"/>
      <c r="B20" s="2"/>
      <c r="C20" s="2"/>
      <c r="D20" s="2"/>
      <c r="E20" s="2"/>
      <c r="F20" s="2"/>
      <c r="G20" s="2"/>
      <c r="H20" s="2"/>
      <c r="I20" s="2"/>
      <c r="J20" s="2"/>
      <c r="K20" s="2"/>
      <c r="L20" s="2"/>
      <c r="M20" s="2"/>
      <c r="N20" s="2"/>
      <c r="O20" s="2"/>
      <c r="P20" s="2"/>
      <c r="Q20" s="2"/>
      <c r="R20" s="2"/>
      <c r="S20" s="2"/>
      <c r="T20" s="2"/>
      <c r="U20" s="2"/>
      <c r="V20" s="2"/>
    </row>
    <row r="21" spans="1:22" ht="15.5" x14ac:dyDescent="0.35">
      <c r="A21" s="2" t="s">
        <v>69</v>
      </c>
      <c r="B21" s="2"/>
      <c r="C21" s="2"/>
      <c r="D21" s="2"/>
      <c r="E21" s="2"/>
      <c r="F21" s="2"/>
      <c r="G21" s="2"/>
      <c r="H21" s="2"/>
      <c r="I21" s="2"/>
      <c r="J21" s="2"/>
      <c r="K21" s="2"/>
      <c r="L21" s="2"/>
      <c r="M21" s="2"/>
      <c r="N21" s="2"/>
      <c r="O21" s="2"/>
      <c r="P21" s="2"/>
      <c r="Q21" s="2"/>
      <c r="R21" s="2"/>
      <c r="S21" s="2"/>
      <c r="T21" s="2"/>
      <c r="U21" s="2"/>
      <c r="V21" s="2"/>
    </row>
    <row r="22" spans="1:22" ht="15.5" x14ac:dyDescent="0.35">
      <c r="A22" s="2"/>
      <c r="B22" s="2"/>
      <c r="C22" s="2"/>
      <c r="D22" s="2"/>
      <c r="E22" s="2"/>
      <c r="F22" s="2"/>
      <c r="G22" s="2"/>
      <c r="H22" s="2"/>
      <c r="I22" s="2"/>
      <c r="J22" s="2"/>
      <c r="K22" s="2"/>
      <c r="L22" s="2"/>
      <c r="M22" s="2"/>
      <c r="N22" s="2"/>
      <c r="O22" s="2"/>
      <c r="P22" s="2"/>
      <c r="Q22" s="2"/>
      <c r="R22" s="2"/>
      <c r="S22" s="2"/>
      <c r="T22" s="2"/>
      <c r="U22" s="2"/>
      <c r="V22" s="2"/>
    </row>
    <row r="23" spans="1:22" ht="15.5" x14ac:dyDescent="0.35">
      <c r="A23" s="7" t="s">
        <v>48</v>
      </c>
      <c r="B23" s="35" t="s">
        <v>69</v>
      </c>
      <c r="C23" s="35"/>
      <c r="D23" s="35"/>
      <c r="E23" s="2"/>
      <c r="F23" s="2"/>
      <c r="G23" s="2"/>
      <c r="H23" s="7" t="s">
        <v>48</v>
      </c>
      <c r="I23" s="35" t="s">
        <v>73</v>
      </c>
      <c r="J23" s="35"/>
      <c r="K23" s="35"/>
      <c r="L23" s="24" t="s">
        <v>74</v>
      </c>
      <c r="M23" s="23" t="s">
        <v>75</v>
      </c>
      <c r="N23" s="23" t="s">
        <v>76</v>
      </c>
      <c r="O23" s="2"/>
      <c r="P23" s="35" t="s">
        <v>77</v>
      </c>
      <c r="Q23" s="35"/>
      <c r="R23" s="35"/>
      <c r="S23" s="35"/>
      <c r="T23" s="35"/>
      <c r="U23" s="35"/>
      <c r="V23" s="35"/>
    </row>
    <row r="24" spans="1:22" ht="15.5" x14ac:dyDescent="0.35">
      <c r="A24" s="7" t="s">
        <v>18</v>
      </c>
      <c r="B24" s="23">
        <f>GEOMEAN(B13,E13,H13,K13,N13,Q13,T13)</f>
        <v>1.1040895136738123</v>
      </c>
      <c r="C24" s="23">
        <f>GEOMEAN(C13,F13,I13,L13,O13,R13,U13)</f>
        <v>1.1699308127586869</v>
      </c>
      <c r="D24" s="23">
        <f>GEOMEAN(D13,G13,J13,M13,P13,S13,V13)</f>
        <v>1.2190136542044754</v>
      </c>
      <c r="E24" s="2"/>
      <c r="F24" s="2"/>
      <c r="G24" s="2"/>
      <c r="H24" s="7" t="s">
        <v>18</v>
      </c>
      <c r="I24" s="23">
        <f>B24*$B$33</f>
        <v>0.12732439518161573</v>
      </c>
      <c r="J24" s="23">
        <f>C24*$C$33</f>
        <v>0.14625466241215329</v>
      </c>
      <c r="K24" s="23">
        <f>D24*$D$33</f>
        <v>0.16527116272520401</v>
      </c>
      <c r="L24" s="23">
        <f>AVERAGE(I24:K24)</f>
        <v>0.14628340677299101</v>
      </c>
      <c r="M24" s="23">
        <f>L24/$L$31</f>
        <v>0.14501473906430426</v>
      </c>
      <c r="N24" s="28">
        <f>M24</f>
        <v>0.14501473906430426</v>
      </c>
      <c r="O24" s="2"/>
      <c r="P24" s="34" t="s">
        <v>107</v>
      </c>
      <c r="Q24" s="34"/>
      <c r="R24" s="34"/>
      <c r="S24" s="34"/>
      <c r="T24" s="34"/>
      <c r="U24" s="34"/>
      <c r="V24" s="34"/>
    </row>
    <row r="25" spans="1:22" ht="15.5" x14ac:dyDescent="0.35">
      <c r="A25" s="3" t="s">
        <v>83</v>
      </c>
      <c r="B25" s="23">
        <f t="shared" ref="B25:D28" si="21">GEOMEAN(B14,E14,H14,K14,N14,Q14,T14)</f>
        <v>1.2190136542044754</v>
      </c>
      <c r="C25" s="23">
        <f t="shared" si="21"/>
        <v>1.3687381066422017</v>
      </c>
      <c r="D25" s="23">
        <f t="shared" si="21"/>
        <v>1.4859942891369484</v>
      </c>
      <c r="E25" s="2"/>
      <c r="F25" s="2"/>
      <c r="G25" s="2"/>
      <c r="H25" s="3" t="s">
        <v>83</v>
      </c>
      <c r="I25" s="23">
        <f t="shared" ref="I25:I30" si="22">B25*$B$33</f>
        <v>0.14057752955488242</v>
      </c>
      <c r="J25" s="23">
        <f t="shared" ref="J25:J30" si="23">C25*$C$33</f>
        <v>0.17110783606559787</v>
      </c>
      <c r="K25" s="23">
        <f t="shared" ref="K25:K30" si="24">D25*$D$33</f>
        <v>0.20146780400827344</v>
      </c>
      <c r="L25" s="23">
        <f t="shared" ref="L25:L30" si="25">AVERAGE(I25:K25)</f>
        <v>0.17105105654291794</v>
      </c>
      <c r="M25" s="23">
        <f t="shared" ref="M25:M30" si="26">L25/$L$31</f>
        <v>0.16956758718190207</v>
      </c>
      <c r="N25" s="28">
        <f t="shared" ref="N25:N30" si="27">M25</f>
        <v>0.16956758718190207</v>
      </c>
      <c r="O25" s="2"/>
      <c r="P25" s="34"/>
      <c r="Q25" s="34"/>
      <c r="R25" s="34"/>
      <c r="S25" s="34"/>
      <c r="T25" s="34"/>
      <c r="U25" s="34"/>
      <c r="V25" s="34"/>
    </row>
    <row r="26" spans="1:22" ht="15.5" x14ac:dyDescent="0.35">
      <c r="A26" s="3" t="s">
        <v>84</v>
      </c>
      <c r="B26" s="23">
        <f>GEOMEAN(B15,E15,H15,K15,N15,Q15,T15)</f>
        <v>0.60950682710223769</v>
      </c>
      <c r="C26" s="23">
        <f>GEOMEAN(C15,F15,I15,L15,O15,R15,U15)</f>
        <v>0.45624603554740056</v>
      </c>
      <c r="D26" s="23">
        <f>GEOMEAN(D15,G15,J15,M15,P15,S15,V15)</f>
        <v>0.37149857228423711</v>
      </c>
      <c r="E26" s="4"/>
      <c r="F26" s="4"/>
      <c r="G26" s="4"/>
      <c r="H26" s="3" t="s">
        <v>84</v>
      </c>
      <c r="I26" s="23">
        <f t="shared" si="22"/>
        <v>7.0288764777441212E-2</v>
      </c>
      <c r="J26" s="23">
        <f t="shared" si="23"/>
        <v>5.7035945355199291E-2</v>
      </c>
      <c r="K26" s="23">
        <f t="shared" si="24"/>
        <v>5.0366951002068359E-2</v>
      </c>
      <c r="L26" s="23">
        <f t="shared" si="25"/>
        <v>5.9230553711569628E-2</v>
      </c>
      <c r="M26" s="23">
        <f t="shared" si="26"/>
        <v>5.8716866667227564E-2</v>
      </c>
      <c r="N26" s="28">
        <f t="shared" si="27"/>
        <v>5.8716866667227564E-2</v>
      </c>
      <c r="O26" s="4"/>
      <c r="P26" s="34"/>
      <c r="Q26" s="34"/>
      <c r="R26" s="34"/>
      <c r="S26" s="34"/>
      <c r="T26" s="34"/>
      <c r="U26" s="34"/>
      <c r="V26" s="34"/>
    </row>
    <row r="27" spans="1:22" ht="15.5" x14ac:dyDescent="0.35">
      <c r="A27" s="7" t="s">
        <v>85</v>
      </c>
      <c r="B27" s="23">
        <f t="shared" si="21"/>
        <v>1.8114473285278132</v>
      </c>
      <c r="C27" s="23">
        <f t="shared" si="21"/>
        <v>2.5642541997214567</v>
      </c>
      <c r="D27" s="23">
        <f t="shared" si="21"/>
        <v>3.2813414240305514</v>
      </c>
      <c r="E27" s="4"/>
      <c r="F27" s="4"/>
      <c r="G27" s="4"/>
      <c r="H27" s="7" t="s">
        <v>85</v>
      </c>
      <c r="I27" s="23">
        <f t="shared" si="22"/>
        <v>0.20889740609953586</v>
      </c>
      <c r="J27" s="23">
        <f t="shared" si="23"/>
        <v>0.32056094961280712</v>
      </c>
      <c r="K27" s="23">
        <f t="shared" si="24"/>
        <v>0.44487697949685107</v>
      </c>
      <c r="L27" s="23">
        <f t="shared" si="25"/>
        <v>0.32477844506973136</v>
      </c>
      <c r="M27" s="23">
        <f t="shared" si="26"/>
        <v>0.32196174880303258</v>
      </c>
      <c r="N27" s="28">
        <f t="shared" si="27"/>
        <v>0.32196174880303258</v>
      </c>
      <c r="O27" s="4"/>
      <c r="P27" s="34"/>
      <c r="Q27" s="34"/>
      <c r="R27" s="34"/>
      <c r="S27" s="34"/>
      <c r="T27" s="34"/>
      <c r="U27" s="34"/>
      <c r="V27" s="34"/>
    </row>
    <row r="28" spans="1:22" ht="15.5" x14ac:dyDescent="0.35">
      <c r="A28" s="3" t="s">
        <v>86</v>
      </c>
      <c r="B28" s="23">
        <f>GEOMEAN(B17,E17,H17,K17,N17,Q17,T17)</f>
        <v>0.90572366426390671</v>
      </c>
      <c r="C28" s="23">
        <f t="shared" si="21"/>
        <v>0.85475139990715221</v>
      </c>
      <c r="D28" s="23">
        <f t="shared" si="21"/>
        <v>0.82033535600763796</v>
      </c>
      <c r="E28" s="4"/>
      <c r="F28" s="4"/>
      <c r="G28" s="4"/>
      <c r="H28" s="3" t="s">
        <v>86</v>
      </c>
      <c r="I28" s="23">
        <f t="shared" si="22"/>
        <v>0.10444870304976794</v>
      </c>
      <c r="J28" s="23">
        <f t="shared" si="23"/>
        <v>0.10685364987093571</v>
      </c>
      <c r="K28" s="23">
        <f t="shared" si="24"/>
        <v>0.11121924487421278</v>
      </c>
      <c r="L28" s="23">
        <f t="shared" si="25"/>
        <v>0.10750719926497214</v>
      </c>
      <c r="M28" s="23">
        <f t="shared" si="26"/>
        <v>0.10657482480659983</v>
      </c>
      <c r="N28" s="28">
        <f t="shared" si="27"/>
        <v>0.10657482480659983</v>
      </c>
      <c r="O28" s="4"/>
      <c r="P28" s="34"/>
      <c r="Q28" s="34"/>
      <c r="R28" s="34"/>
      <c r="S28" s="34"/>
      <c r="T28" s="34"/>
      <c r="U28" s="34"/>
      <c r="V28" s="34"/>
    </row>
    <row r="29" spans="1:22" ht="15.5" x14ac:dyDescent="0.35">
      <c r="A29" s="3" t="s">
        <v>87</v>
      </c>
      <c r="B29" s="23">
        <f t="shared" ref="B29:D30" si="28">GEOMEAN(B18,E18,H18,K18,N18,Q18,T18)</f>
        <v>0.90572366426390671</v>
      </c>
      <c r="C29" s="23">
        <f t="shared" si="28"/>
        <v>0.85475139990715221</v>
      </c>
      <c r="D29" s="23">
        <f t="shared" si="28"/>
        <v>0.82033535600763796</v>
      </c>
      <c r="E29" s="4"/>
      <c r="F29" s="4"/>
      <c r="G29" s="4"/>
      <c r="H29" s="3" t="s">
        <v>87</v>
      </c>
      <c r="I29" s="23">
        <f t="shared" si="22"/>
        <v>0.10444870304976794</v>
      </c>
      <c r="J29" s="23">
        <f t="shared" si="23"/>
        <v>0.10685364987093571</v>
      </c>
      <c r="K29" s="23">
        <f t="shared" si="24"/>
        <v>0.11121924487421278</v>
      </c>
      <c r="L29" s="23">
        <f t="shared" si="25"/>
        <v>0.10750719926497214</v>
      </c>
      <c r="M29" s="23">
        <f t="shared" si="26"/>
        <v>0.10657482480659983</v>
      </c>
      <c r="N29" s="28">
        <f t="shared" si="27"/>
        <v>0.10657482480659983</v>
      </c>
      <c r="O29" s="4"/>
      <c r="P29" s="34"/>
      <c r="Q29" s="34"/>
      <c r="R29" s="34"/>
      <c r="S29" s="34"/>
      <c r="T29" s="34"/>
      <c r="U29" s="34"/>
      <c r="V29" s="34"/>
    </row>
    <row r="30" spans="1:22" ht="15.5" x14ac:dyDescent="0.35">
      <c r="A30" s="7" t="s">
        <v>88</v>
      </c>
      <c r="B30" s="23">
        <f t="shared" si="28"/>
        <v>0.82033535600763796</v>
      </c>
      <c r="C30" s="23">
        <f t="shared" si="28"/>
        <v>0.73059995564323643</v>
      </c>
      <c r="D30" s="23">
        <f t="shared" si="28"/>
        <v>0.67295009631617808</v>
      </c>
      <c r="E30" s="4"/>
      <c r="F30" s="4"/>
      <c r="G30" s="4"/>
      <c r="H30" s="7" t="s">
        <v>88</v>
      </c>
      <c r="I30" s="23">
        <f t="shared" si="22"/>
        <v>9.4601662053848498E-2</v>
      </c>
      <c r="J30" s="23">
        <f t="shared" si="23"/>
        <v>9.1333306812370993E-2</v>
      </c>
      <c r="K30" s="23">
        <f t="shared" si="24"/>
        <v>9.1237078838787997E-2</v>
      </c>
      <c r="L30" s="23">
        <f t="shared" si="25"/>
        <v>9.2390682568335825E-2</v>
      </c>
      <c r="M30" s="23">
        <f t="shared" si="26"/>
        <v>9.1589408670334035E-2</v>
      </c>
      <c r="N30" s="28">
        <f t="shared" si="27"/>
        <v>9.1589408670334035E-2</v>
      </c>
      <c r="O30" s="4"/>
      <c r="P30" s="34"/>
      <c r="Q30" s="34"/>
      <c r="R30" s="34"/>
      <c r="S30" s="34"/>
      <c r="T30" s="34"/>
      <c r="U30" s="34"/>
      <c r="V30" s="34"/>
    </row>
    <row r="31" spans="1:22" ht="15.5" x14ac:dyDescent="0.35">
      <c r="A31" s="26" t="s">
        <v>70</v>
      </c>
      <c r="B31" s="25">
        <f>SUM(B24:B30)</f>
        <v>7.3758400080437907</v>
      </c>
      <c r="C31" s="25">
        <f t="shared" ref="C31:D31" si="29">SUM(C24:C30)</f>
        <v>7.9992719101272867</v>
      </c>
      <c r="D31" s="25">
        <f t="shared" si="29"/>
        <v>8.6714687479876655</v>
      </c>
      <c r="E31" s="4"/>
      <c r="F31" s="4"/>
      <c r="G31" s="4"/>
      <c r="H31" s="26" t="s">
        <v>70</v>
      </c>
      <c r="I31" s="23"/>
      <c r="J31" s="23"/>
      <c r="K31" s="23"/>
      <c r="L31" s="25">
        <f>SUM(L24:L30)</f>
        <v>1.0087485431954899</v>
      </c>
      <c r="M31" s="25">
        <f>SUM(M24:M30)</f>
        <v>1.0000000000000002</v>
      </c>
      <c r="N31" s="27">
        <f>SUM(N24:N30)</f>
        <v>1.0000000000000002</v>
      </c>
      <c r="O31" s="4"/>
      <c r="P31" s="34"/>
      <c r="Q31" s="34"/>
      <c r="R31" s="34"/>
      <c r="S31" s="34"/>
      <c r="T31" s="34"/>
      <c r="U31" s="34"/>
      <c r="V31" s="34"/>
    </row>
    <row r="32" spans="1:22" ht="15.5" x14ac:dyDescent="0.35">
      <c r="A32" s="26" t="s">
        <v>71</v>
      </c>
      <c r="B32" s="25">
        <f>1/B31</f>
        <v>0.13557777811197649</v>
      </c>
      <c r="C32" s="25">
        <f t="shared" ref="C32:D32" si="30">1/C31</f>
        <v>0.12501137743973598</v>
      </c>
      <c r="D32" s="25">
        <f t="shared" si="30"/>
        <v>0.11532071775407872</v>
      </c>
      <c r="E32" s="4"/>
      <c r="F32" s="4"/>
      <c r="G32" s="4"/>
      <c r="H32" s="4"/>
      <c r="I32" s="4"/>
      <c r="J32" s="4"/>
      <c r="K32" s="4"/>
      <c r="L32" s="4"/>
      <c r="M32" s="4"/>
      <c r="N32" s="4"/>
      <c r="O32" s="4"/>
      <c r="P32" s="4"/>
      <c r="Q32" s="4"/>
      <c r="R32" s="4"/>
      <c r="S32" s="4"/>
      <c r="T32" s="4"/>
      <c r="U32" s="4"/>
      <c r="V32" s="4"/>
    </row>
    <row r="33" spans="1:22" ht="15.5" x14ac:dyDescent="0.35">
      <c r="A33" s="26" t="s">
        <v>72</v>
      </c>
      <c r="B33" s="25">
        <f>MIN(B32:D32)</f>
        <v>0.11532071775407872</v>
      </c>
      <c r="C33" s="25">
        <f>MEDIAN(B32:D32)</f>
        <v>0.12501137743973598</v>
      </c>
      <c r="D33" s="25">
        <f>MAX(B32:D32)</f>
        <v>0.13557777811197649</v>
      </c>
      <c r="E33" s="4"/>
      <c r="F33" s="4"/>
      <c r="G33" s="4"/>
      <c r="H33" s="4"/>
      <c r="I33" s="4"/>
      <c r="J33" s="4"/>
      <c r="K33" s="4"/>
      <c r="L33" s="4"/>
      <c r="M33" s="4"/>
      <c r="N33" s="4"/>
      <c r="O33" s="4"/>
      <c r="P33" s="4"/>
      <c r="Q33" s="4"/>
      <c r="R33" s="4"/>
      <c r="S33" s="4"/>
      <c r="T33" s="4"/>
      <c r="U33" s="4"/>
      <c r="V33" s="4"/>
    </row>
  </sheetData>
  <mergeCells count="11">
    <mergeCell ref="T12:V12"/>
    <mergeCell ref="B23:D23"/>
    <mergeCell ref="I23:K23"/>
    <mergeCell ref="P23:V23"/>
    <mergeCell ref="P24:V31"/>
    <mergeCell ref="B12:D12"/>
    <mergeCell ref="E12:G12"/>
    <mergeCell ref="H12:J12"/>
    <mergeCell ref="K12:M12"/>
    <mergeCell ref="N12:P12"/>
    <mergeCell ref="Q12:S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09A0-BA61-41DC-B3E4-7F4DAA235C15}">
  <dimension ref="A1:V33"/>
  <sheetViews>
    <sheetView workbookViewId="0">
      <selection activeCell="P32" sqref="P32"/>
    </sheetView>
  </sheetViews>
  <sheetFormatPr defaultRowHeight="14.5" x14ac:dyDescent="0.35"/>
  <cols>
    <col min="1" max="1" width="83.453125" bestFit="1" customWidth="1"/>
    <col min="2" max="2" width="11.81640625" bestFit="1" customWidth="1"/>
    <col min="3" max="3" width="5.54296875" bestFit="1" customWidth="1"/>
    <col min="4" max="5" width="11.81640625" bestFit="1" customWidth="1"/>
    <col min="6" max="6" width="6.08984375" bestFit="1" customWidth="1"/>
    <col min="7" max="7" width="5.6328125" bestFit="1" customWidth="1"/>
    <col min="8" max="8" width="11.90625" bestFit="1" customWidth="1"/>
  </cols>
  <sheetData>
    <row r="1" spans="1:22" ht="15.5" x14ac:dyDescent="0.35">
      <c r="A1" s="12" t="s">
        <v>89</v>
      </c>
      <c r="B1" s="11"/>
      <c r="C1" s="11"/>
      <c r="D1" s="11"/>
      <c r="E1" s="11"/>
      <c r="F1" s="11"/>
      <c r="G1" s="11"/>
      <c r="H1" s="11"/>
    </row>
    <row r="2" spans="1:22" ht="15.5" x14ac:dyDescent="0.35">
      <c r="A2" s="3"/>
      <c r="B2" s="7" t="s">
        <v>18</v>
      </c>
      <c r="C2" s="3" t="s">
        <v>83</v>
      </c>
      <c r="D2" s="3" t="s">
        <v>84</v>
      </c>
      <c r="E2" s="7" t="s">
        <v>85</v>
      </c>
      <c r="F2" s="3" t="s">
        <v>86</v>
      </c>
      <c r="G2" s="3" t="s">
        <v>87</v>
      </c>
      <c r="H2" s="7" t="s">
        <v>88</v>
      </c>
    </row>
    <row r="3" spans="1:22" ht="15.5" x14ac:dyDescent="0.35">
      <c r="A3" s="7" t="s">
        <v>18</v>
      </c>
      <c r="B3" s="3">
        <v>1</v>
      </c>
      <c r="C3" s="3">
        <v>2</v>
      </c>
      <c r="D3" s="3">
        <v>1</v>
      </c>
      <c r="E3" s="3">
        <v>3</v>
      </c>
      <c r="F3" s="3">
        <v>1</v>
      </c>
      <c r="G3" s="3">
        <v>1</v>
      </c>
      <c r="H3" s="3">
        <v>2</v>
      </c>
    </row>
    <row r="4" spans="1:22" x14ac:dyDescent="0.35">
      <c r="A4" s="3" t="s">
        <v>83</v>
      </c>
      <c r="B4" s="3">
        <f>1/C3</f>
        <v>0.5</v>
      </c>
      <c r="C4" s="3">
        <v>1</v>
      </c>
      <c r="D4" s="3">
        <v>1</v>
      </c>
      <c r="E4" s="3">
        <f>1/2</f>
        <v>0.5</v>
      </c>
      <c r="F4" s="3">
        <v>2</v>
      </c>
      <c r="G4" s="3">
        <f>1/2</f>
        <v>0.5</v>
      </c>
      <c r="H4" s="3">
        <f>1/2</f>
        <v>0.5</v>
      </c>
    </row>
    <row r="5" spans="1:22" x14ac:dyDescent="0.35">
      <c r="A5" s="3" t="s">
        <v>84</v>
      </c>
      <c r="B5" s="3">
        <f>1/D3</f>
        <v>1</v>
      </c>
      <c r="C5" s="3">
        <f>1/D4</f>
        <v>1</v>
      </c>
      <c r="D5" s="3">
        <v>1</v>
      </c>
      <c r="E5" s="3">
        <v>1</v>
      </c>
      <c r="F5" s="3">
        <v>3</v>
      </c>
      <c r="G5" s="3">
        <v>1</v>
      </c>
      <c r="H5" s="3">
        <v>1</v>
      </c>
    </row>
    <row r="6" spans="1:22" ht="15.5" x14ac:dyDescent="0.35">
      <c r="A6" s="7" t="s">
        <v>85</v>
      </c>
      <c r="B6" s="3">
        <f>1/E3</f>
        <v>0.33333333333333331</v>
      </c>
      <c r="C6" s="3">
        <f>1/E4</f>
        <v>2</v>
      </c>
      <c r="D6" s="3">
        <f>1/E5</f>
        <v>1</v>
      </c>
      <c r="E6" s="3">
        <v>1</v>
      </c>
      <c r="F6" s="3">
        <v>1</v>
      </c>
      <c r="G6" s="3">
        <v>3</v>
      </c>
      <c r="H6" s="3">
        <v>3</v>
      </c>
    </row>
    <row r="7" spans="1:22" x14ac:dyDescent="0.35">
      <c r="A7" s="3" t="s">
        <v>86</v>
      </c>
      <c r="B7" s="3">
        <f>1/F3</f>
        <v>1</v>
      </c>
      <c r="C7" s="3">
        <f>1/F4</f>
        <v>0.5</v>
      </c>
      <c r="D7" s="3">
        <f>1/F5</f>
        <v>0.33333333333333331</v>
      </c>
      <c r="E7" s="3">
        <f>1/F6</f>
        <v>1</v>
      </c>
      <c r="F7" s="3">
        <v>1</v>
      </c>
      <c r="G7" s="3">
        <v>1</v>
      </c>
      <c r="H7" s="3">
        <f>1/2</f>
        <v>0.5</v>
      </c>
    </row>
    <row r="8" spans="1:22" x14ac:dyDescent="0.35">
      <c r="A8" s="3" t="s">
        <v>87</v>
      </c>
      <c r="B8" s="3">
        <f>1/G3</f>
        <v>1</v>
      </c>
      <c r="C8" s="3">
        <f>1/G4</f>
        <v>2</v>
      </c>
      <c r="D8" s="3">
        <f>1/G5</f>
        <v>1</v>
      </c>
      <c r="E8" s="3">
        <f>1/G6</f>
        <v>0.33333333333333331</v>
      </c>
      <c r="F8" s="3">
        <f>1/G7</f>
        <v>1</v>
      </c>
      <c r="G8" s="3">
        <v>1</v>
      </c>
      <c r="H8" s="3">
        <v>2</v>
      </c>
    </row>
    <row r="9" spans="1:22" ht="15.5" x14ac:dyDescent="0.35">
      <c r="A9" s="7" t="s">
        <v>88</v>
      </c>
      <c r="B9" s="3">
        <f>1/H3</f>
        <v>0.5</v>
      </c>
      <c r="C9" s="3">
        <f>1/H4</f>
        <v>2</v>
      </c>
      <c r="D9" s="3">
        <f>1/H5</f>
        <v>1</v>
      </c>
      <c r="E9" s="3">
        <f>1/H6</f>
        <v>0.33333333333333331</v>
      </c>
      <c r="F9" s="3">
        <f>1/H7</f>
        <v>2</v>
      </c>
      <c r="G9" s="3">
        <f>1/H8</f>
        <v>0.5</v>
      </c>
      <c r="H9" s="3">
        <v>1</v>
      </c>
    </row>
    <row r="12" spans="1:22" ht="15.5" x14ac:dyDescent="0.35">
      <c r="A12" s="7" t="s">
        <v>48</v>
      </c>
      <c r="B12" s="36" t="s">
        <v>18</v>
      </c>
      <c r="C12" s="37"/>
      <c r="D12" s="38"/>
      <c r="E12" s="36" t="s">
        <v>83</v>
      </c>
      <c r="F12" s="37"/>
      <c r="G12" s="38"/>
      <c r="H12" s="36" t="s">
        <v>84</v>
      </c>
      <c r="I12" s="37"/>
      <c r="J12" s="38"/>
      <c r="K12" s="36" t="s">
        <v>85</v>
      </c>
      <c r="L12" s="37"/>
      <c r="M12" s="38"/>
      <c r="N12" s="36" t="s">
        <v>86</v>
      </c>
      <c r="O12" s="37"/>
      <c r="P12" s="38"/>
      <c r="Q12" s="36" t="s">
        <v>87</v>
      </c>
      <c r="R12" s="37"/>
      <c r="S12" s="38"/>
      <c r="T12" s="39" t="s">
        <v>88</v>
      </c>
      <c r="U12" s="39"/>
      <c r="V12" s="39"/>
    </row>
    <row r="13" spans="1:22" ht="15.5" x14ac:dyDescent="0.35">
      <c r="A13" s="7" t="s">
        <v>18</v>
      </c>
      <c r="B13" s="13">
        <v>1</v>
      </c>
      <c r="C13" s="13">
        <v>1</v>
      </c>
      <c r="D13" s="13">
        <v>1</v>
      </c>
      <c r="E13" s="13">
        <v>2</v>
      </c>
      <c r="F13" s="13">
        <v>3</v>
      </c>
      <c r="G13" s="13">
        <v>4</v>
      </c>
      <c r="H13" s="13">
        <v>1</v>
      </c>
      <c r="I13" s="13">
        <v>1</v>
      </c>
      <c r="J13" s="13">
        <v>1</v>
      </c>
      <c r="K13" s="13">
        <v>2</v>
      </c>
      <c r="L13" s="13">
        <v>3</v>
      </c>
      <c r="M13" s="13">
        <v>4</v>
      </c>
      <c r="N13" s="13">
        <v>1</v>
      </c>
      <c r="O13" s="13">
        <v>1</v>
      </c>
      <c r="P13" s="13">
        <v>1</v>
      </c>
      <c r="Q13" s="13">
        <v>1</v>
      </c>
      <c r="R13" s="13">
        <v>1</v>
      </c>
      <c r="S13" s="13">
        <v>1</v>
      </c>
      <c r="T13" s="13">
        <v>2</v>
      </c>
      <c r="U13" s="13">
        <v>3</v>
      </c>
      <c r="V13" s="13">
        <v>4</v>
      </c>
    </row>
    <row r="14" spans="1:22" ht="15.5" x14ac:dyDescent="0.35">
      <c r="A14" s="3" t="s">
        <v>83</v>
      </c>
      <c r="B14" s="13">
        <f>1/E13</f>
        <v>0.5</v>
      </c>
      <c r="C14" s="13">
        <f t="shared" ref="C14:D14" si="0">1/F13</f>
        <v>0.33333333333333331</v>
      </c>
      <c r="D14" s="13">
        <f t="shared" si="0"/>
        <v>0.25</v>
      </c>
      <c r="E14" s="13">
        <v>1</v>
      </c>
      <c r="F14" s="13">
        <v>1</v>
      </c>
      <c r="G14" s="13">
        <v>1</v>
      </c>
      <c r="H14" s="13">
        <v>1</v>
      </c>
      <c r="I14" s="13">
        <v>1</v>
      </c>
      <c r="J14" s="13">
        <v>1</v>
      </c>
      <c r="K14" s="13">
        <f>1/2</f>
        <v>0.5</v>
      </c>
      <c r="L14" s="13">
        <f>1/3</f>
        <v>0.33333333333333331</v>
      </c>
      <c r="M14" s="13">
        <f>1/4</f>
        <v>0.25</v>
      </c>
      <c r="N14" s="13">
        <v>2</v>
      </c>
      <c r="O14" s="13">
        <v>3</v>
      </c>
      <c r="P14" s="13">
        <v>4</v>
      </c>
      <c r="Q14" s="13">
        <f>1/2</f>
        <v>0.5</v>
      </c>
      <c r="R14" s="13">
        <f>1/3</f>
        <v>0.33333333333333331</v>
      </c>
      <c r="S14" s="13">
        <f>1/4</f>
        <v>0.25</v>
      </c>
      <c r="T14" s="13">
        <f>1/2</f>
        <v>0.5</v>
      </c>
      <c r="U14" s="13">
        <f>1/3</f>
        <v>0.33333333333333331</v>
      </c>
      <c r="V14" s="13">
        <f>1/4</f>
        <v>0.25</v>
      </c>
    </row>
    <row r="15" spans="1:22" ht="15.5" x14ac:dyDescent="0.35">
      <c r="A15" s="3" t="s">
        <v>84</v>
      </c>
      <c r="B15" s="13">
        <f>1/H13</f>
        <v>1</v>
      </c>
      <c r="C15" s="13">
        <f t="shared" ref="C15:D15" si="1">1/I13</f>
        <v>1</v>
      </c>
      <c r="D15" s="13">
        <f t="shared" si="1"/>
        <v>1</v>
      </c>
      <c r="E15" s="13">
        <f>1/H14</f>
        <v>1</v>
      </c>
      <c r="F15" s="13">
        <f t="shared" ref="F15:G15" si="2">1/I14</f>
        <v>1</v>
      </c>
      <c r="G15" s="13">
        <f t="shared" si="2"/>
        <v>1</v>
      </c>
      <c r="H15" s="13">
        <v>1</v>
      </c>
      <c r="I15" s="13">
        <v>1</v>
      </c>
      <c r="J15" s="13">
        <v>1</v>
      </c>
      <c r="K15" s="13">
        <v>1</v>
      </c>
      <c r="L15" s="13">
        <v>1</v>
      </c>
      <c r="M15" s="13">
        <v>1</v>
      </c>
      <c r="N15" s="13">
        <v>2</v>
      </c>
      <c r="O15" s="13">
        <v>3</v>
      </c>
      <c r="P15" s="13">
        <v>4</v>
      </c>
      <c r="Q15" s="13">
        <v>1</v>
      </c>
      <c r="R15" s="13">
        <v>1</v>
      </c>
      <c r="S15" s="13">
        <v>1</v>
      </c>
      <c r="T15" s="13">
        <v>1</v>
      </c>
      <c r="U15" s="13">
        <v>1</v>
      </c>
      <c r="V15" s="13">
        <v>1</v>
      </c>
    </row>
    <row r="16" spans="1:22" ht="15.5" x14ac:dyDescent="0.35">
      <c r="A16" s="7" t="s">
        <v>85</v>
      </c>
      <c r="B16" s="13">
        <f>1/K13</f>
        <v>0.5</v>
      </c>
      <c r="C16" s="13">
        <f t="shared" ref="C16:D16" si="3">1/L13</f>
        <v>0.33333333333333331</v>
      </c>
      <c r="D16" s="13">
        <f t="shared" si="3"/>
        <v>0.25</v>
      </c>
      <c r="E16" s="13">
        <f>1/K14</f>
        <v>2</v>
      </c>
      <c r="F16" s="13">
        <f t="shared" ref="F16:G16" si="4">1/L14</f>
        <v>3</v>
      </c>
      <c r="G16" s="13">
        <f t="shared" si="4"/>
        <v>4</v>
      </c>
      <c r="H16" s="13">
        <f>1/K15</f>
        <v>1</v>
      </c>
      <c r="I16" s="13">
        <f t="shared" ref="I16:J16" si="5">1/L15</f>
        <v>1</v>
      </c>
      <c r="J16" s="13">
        <f t="shared" si="5"/>
        <v>1</v>
      </c>
      <c r="K16" s="13">
        <v>1</v>
      </c>
      <c r="L16" s="13">
        <v>1</v>
      </c>
      <c r="M16" s="13">
        <v>1</v>
      </c>
      <c r="N16" s="13">
        <v>1</v>
      </c>
      <c r="O16" s="13">
        <v>1</v>
      </c>
      <c r="P16" s="13">
        <v>1</v>
      </c>
      <c r="Q16" s="13">
        <v>2</v>
      </c>
      <c r="R16" s="13">
        <v>3</v>
      </c>
      <c r="S16" s="13">
        <v>4</v>
      </c>
      <c r="T16" s="13">
        <v>2</v>
      </c>
      <c r="U16" s="13">
        <v>3</v>
      </c>
      <c r="V16" s="13">
        <v>4</v>
      </c>
    </row>
    <row r="17" spans="1:22" ht="15.5" x14ac:dyDescent="0.35">
      <c r="A17" s="3" t="s">
        <v>86</v>
      </c>
      <c r="B17" s="13">
        <f>1/N13</f>
        <v>1</v>
      </c>
      <c r="C17" s="13">
        <f t="shared" ref="C17:D17" si="6">1/O13</f>
        <v>1</v>
      </c>
      <c r="D17" s="13">
        <f t="shared" si="6"/>
        <v>1</v>
      </c>
      <c r="E17" s="13">
        <f>1/N14</f>
        <v>0.5</v>
      </c>
      <c r="F17" s="13">
        <f t="shared" ref="F17:G17" si="7">1/O14</f>
        <v>0.33333333333333331</v>
      </c>
      <c r="G17" s="13">
        <f t="shared" si="7"/>
        <v>0.25</v>
      </c>
      <c r="H17" s="13">
        <f>1/N15</f>
        <v>0.5</v>
      </c>
      <c r="I17" s="13">
        <f t="shared" ref="I17:J17" si="8">1/O15</f>
        <v>0.33333333333333331</v>
      </c>
      <c r="J17" s="13">
        <f t="shared" si="8"/>
        <v>0.25</v>
      </c>
      <c r="K17" s="13">
        <f>1/N16</f>
        <v>1</v>
      </c>
      <c r="L17" s="13">
        <f t="shared" ref="L17:M17" si="9">1/O16</f>
        <v>1</v>
      </c>
      <c r="M17" s="13">
        <f t="shared" si="9"/>
        <v>1</v>
      </c>
      <c r="N17" s="13">
        <v>1</v>
      </c>
      <c r="O17" s="13">
        <v>1</v>
      </c>
      <c r="P17" s="13">
        <v>1</v>
      </c>
      <c r="Q17" s="13">
        <v>1</v>
      </c>
      <c r="R17" s="13">
        <v>1</v>
      </c>
      <c r="S17" s="13">
        <v>1</v>
      </c>
      <c r="T17" s="13">
        <f>1/2</f>
        <v>0.5</v>
      </c>
      <c r="U17" s="13">
        <f>1/3</f>
        <v>0.33333333333333331</v>
      </c>
      <c r="V17" s="13">
        <f>1/4</f>
        <v>0.25</v>
      </c>
    </row>
    <row r="18" spans="1:22" ht="15.5" x14ac:dyDescent="0.35">
      <c r="A18" s="3" t="s">
        <v>87</v>
      </c>
      <c r="B18" s="13">
        <f>1/Q13</f>
        <v>1</v>
      </c>
      <c r="C18" s="13">
        <f t="shared" ref="C18:D18" si="10">1/R13</f>
        <v>1</v>
      </c>
      <c r="D18" s="13">
        <f t="shared" si="10"/>
        <v>1</v>
      </c>
      <c r="E18" s="13">
        <f>1/Q14</f>
        <v>2</v>
      </c>
      <c r="F18" s="13">
        <f t="shared" ref="F18:G18" si="11">1/R14</f>
        <v>3</v>
      </c>
      <c r="G18" s="13">
        <f t="shared" si="11"/>
        <v>4</v>
      </c>
      <c r="H18" s="13">
        <f>1/Q15</f>
        <v>1</v>
      </c>
      <c r="I18" s="13">
        <f t="shared" ref="I18:J18" si="12">1/R15</f>
        <v>1</v>
      </c>
      <c r="J18" s="13">
        <f t="shared" si="12"/>
        <v>1</v>
      </c>
      <c r="K18" s="13">
        <f>1/Q16</f>
        <v>0.5</v>
      </c>
      <c r="L18" s="13">
        <f t="shared" ref="L18:M18" si="13">1/R16</f>
        <v>0.33333333333333331</v>
      </c>
      <c r="M18" s="13">
        <f t="shared" si="13"/>
        <v>0.25</v>
      </c>
      <c r="N18" s="13">
        <f>1/Q17</f>
        <v>1</v>
      </c>
      <c r="O18" s="13">
        <f t="shared" ref="O18:P18" si="14">1/R17</f>
        <v>1</v>
      </c>
      <c r="P18" s="13">
        <f t="shared" si="14"/>
        <v>1</v>
      </c>
      <c r="Q18" s="13">
        <v>1</v>
      </c>
      <c r="R18" s="13">
        <v>1</v>
      </c>
      <c r="S18" s="13">
        <v>1</v>
      </c>
      <c r="T18" s="13">
        <v>2</v>
      </c>
      <c r="U18" s="13">
        <v>3</v>
      </c>
      <c r="V18" s="13">
        <v>4</v>
      </c>
    </row>
    <row r="19" spans="1:22" ht="15.5" x14ac:dyDescent="0.35">
      <c r="A19" s="7" t="s">
        <v>88</v>
      </c>
      <c r="B19" s="13">
        <f>1/T13</f>
        <v>0.5</v>
      </c>
      <c r="C19" s="13">
        <f t="shared" ref="C19:D19" si="15">1/U13</f>
        <v>0.33333333333333331</v>
      </c>
      <c r="D19" s="13">
        <f t="shared" si="15"/>
        <v>0.25</v>
      </c>
      <c r="E19" s="13">
        <f>1/T14</f>
        <v>2</v>
      </c>
      <c r="F19" s="13">
        <f t="shared" ref="F19:G19" si="16">1/U14</f>
        <v>3</v>
      </c>
      <c r="G19" s="13">
        <f t="shared" si="16"/>
        <v>4</v>
      </c>
      <c r="H19" s="13">
        <f>1/T15</f>
        <v>1</v>
      </c>
      <c r="I19" s="13">
        <f t="shared" ref="I19:J19" si="17">1/U15</f>
        <v>1</v>
      </c>
      <c r="J19" s="13">
        <f t="shared" si="17"/>
        <v>1</v>
      </c>
      <c r="K19" s="13">
        <f>1/T16</f>
        <v>0.5</v>
      </c>
      <c r="L19" s="13">
        <f t="shared" ref="L19:M19" si="18">1/U16</f>
        <v>0.33333333333333331</v>
      </c>
      <c r="M19" s="13">
        <f t="shared" si="18"/>
        <v>0.25</v>
      </c>
      <c r="N19" s="13">
        <f>1/T17</f>
        <v>2</v>
      </c>
      <c r="O19" s="13">
        <f t="shared" ref="O19:P19" si="19">1/U17</f>
        <v>3</v>
      </c>
      <c r="P19" s="13">
        <f t="shared" si="19"/>
        <v>4</v>
      </c>
      <c r="Q19" s="13">
        <f>1/T18</f>
        <v>0.5</v>
      </c>
      <c r="R19" s="13">
        <f t="shared" ref="R19:S19" si="20">1/U18</f>
        <v>0.33333333333333331</v>
      </c>
      <c r="S19" s="13">
        <f t="shared" si="20"/>
        <v>0.25</v>
      </c>
      <c r="T19" s="13">
        <v>1</v>
      </c>
      <c r="U19" s="13">
        <v>1</v>
      </c>
      <c r="V19" s="13">
        <v>1</v>
      </c>
    </row>
    <row r="20" spans="1:22" ht="15.5" x14ac:dyDescent="0.35">
      <c r="A20" s="2"/>
      <c r="B20" s="2"/>
      <c r="C20" s="2"/>
      <c r="D20" s="2"/>
      <c r="E20" s="2"/>
      <c r="F20" s="2"/>
      <c r="G20" s="2"/>
      <c r="H20" s="2"/>
      <c r="I20" s="2"/>
      <c r="J20" s="2"/>
      <c r="K20" s="2"/>
      <c r="L20" s="2"/>
      <c r="M20" s="2"/>
      <c r="N20" s="2"/>
      <c r="O20" s="2"/>
      <c r="P20" s="2"/>
      <c r="Q20" s="2"/>
      <c r="R20" s="2"/>
      <c r="S20" s="2"/>
      <c r="T20" s="2"/>
      <c r="U20" s="2"/>
      <c r="V20" s="2"/>
    </row>
    <row r="21" spans="1:22" ht="15.5" x14ac:dyDescent="0.35">
      <c r="A21" s="2" t="s">
        <v>69</v>
      </c>
      <c r="B21" s="2"/>
      <c r="C21" s="2"/>
      <c r="D21" s="2"/>
      <c r="E21" s="2"/>
      <c r="F21" s="2"/>
      <c r="G21" s="2"/>
      <c r="H21" s="2"/>
      <c r="I21" s="2"/>
      <c r="J21" s="2"/>
      <c r="K21" s="2"/>
      <c r="L21" s="2"/>
      <c r="M21" s="2"/>
      <c r="N21" s="2"/>
      <c r="O21" s="2"/>
      <c r="P21" s="2"/>
      <c r="Q21" s="2"/>
      <c r="R21" s="2"/>
      <c r="S21" s="2"/>
      <c r="T21" s="2"/>
      <c r="U21" s="2"/>
      <c r="V21" s="2"/>
    </row>
    <row r="22" spans="1:22" ht="15.5" x14ac:dyDescent="0.35">
      <c r="A22" s="2"/>
      <c r="B22" s="2"/>
      <c r="C22" s="2"/>
      <c r="D22" s="2"/>
      <c r="E22" s="2"/>
      <c r="F22" s="2"/>
      <c r="G22" s="2"/>
      <c r="H22" s="2"/>
      <c r="I22" s="2"/>
      <c r="J22" s="2"/>
      <c r="K22" s="2"/>
      <c r="L22" s="2"/>
      <c r="M22" s="2"/>
      <c r="N22" s="2"/>
      <c r="O22" s="2"/>
      <c r="P22" s="2"/>
      <c r="Q22" s="2"/>
      <c r="R22" s="2"/>
      <c r="S22" s="2"/>
      <c r="T22" s="2"/>
      <c r="U22" s="2"/>
      <c r="V22" s="2"/>
    </row>
    <row r="23" spans="1:22" ht="15.5" x14ac:dyDescent="0.35">
      <c r="A23" s="7" t="s">
        <v>48</v>
      </c>
      <c r="B23" s="35" t="s">
        <v>69</v>
      </c>
      <c r="C23" s="35"/>
      <c r="D23" s="35"/>
      <c r="E23" s="2"/>
      <c r="F23" s="2"/>
      <c r="G23" s="2"/>
      <c r="H23" s="7" t="s">
        <v>48</v>
      </c>
      <c r="I23" s="35" t="s">
        <v>73</v>
      </c>
      <c r="J23" s="35"/>
      <c r="K23" s="35"/>
      <c r="L23" s="24" t="s">
        <v>74</v>
      </c>
      <c r="M23" s="23" t="s">
        <v>75</v>
      </c>
      <c r="N23" s="23" t="s">
        <v>76</v>
      </c>
      <c r="O23" s="2"/>
      <c r="P23" s="35" t="s">
        <v>77</v>
      </c>
      <c r="Q23" s="35"/>
      <c r="R23" s="35"/>
      <c r="S23" s="35"/>
      <c r="T23" s="35"/>
      <c r="U23" s="35"/>
      <c r="V23" s="35"/>
    </row>
    <row r="24" spans="1:22" ht="15.5" x14ac:dyDescent="0.35">
      <c r="A24" s="7" t="s">
        <v>18</v>
      </c>
      <c r="B24" s="23">
        <f>GEOMEAN(B13,E13,H13,K13,N13,Q13,T13)</f>
        <v>1.3459001926323562</v>
      </c>
      <c r="C24" s="23">
        <f>GEOMEAN(C13,F13,I13,L13,O13,R13,U13)</f>
        <v>1.6013288855576973</v>
      </c>
      <c r="D24" s="23">
        <f>GEOMEAN(D13,G13,J13,M13,P13,S13,V13)</f>
        <v>1.8114473285278132</v>
      </c>
      <c r="E24" s="2"/>
      <c r="F24" s="2"/>
      <c r="G24" s="2"/>
      <c r="H24" s="7" t="s">
        <v>18</v>
      </c>
      <c r="I24" s="23">
        <f>B24*$B$33</f>
        <v>0.17570742212877749</v>
      </c>
      <c r="J24" s="23">
        <f>C24*$C$33</f>
        <v>0.21599758082380549</v>
      </c>
      <c r="K24" s="23">
        <f>D24*$D$33</f>
        <v>0.2528255626168861</v>
      </c>
      <c r="L24" s="23">
        <f>AVERAGE(I24:K24)</f>
        <v>0.21484352185648969</v>
      </c>
      <c r="M24" s="23">
        <f>L24/$L$31</f>
        <v>0.2145241597013279</v>
      </c>
      <c r="N24" s="28">
        <f>M24</f>
        <v>0.2145241597013279</v>
      </c>
      <c r="O24" s="2"/>
      <c r="P24" s="34" t="s">
        <v>108</v>
      </c>
      <c r="Q24" s="34"/>
      <c r="R24" s="34"/>
      <c r="S24" s="34"/>
      <c r="T24" s="34"/>
      <c r="U24" s="34"/>
      <c r="V24" s="34"/>
    </row>
    <row r="25" spans="1:22" ht="15.5" x14ac:dyDescent="0.35">
      <c r="A25" s="3" t="s">
        <v>83</v>
      </c>
      <c r="B25" s="23">
        <f t="shared" ref="B25:D28" si="21">GEOMEAN(B14,E14,H14,K14,N14,Q14,T14)</f>
        <v>0.74299714456847421</v>
      </c>
      <c r="C25" s="23">
        <f t="shared" si="21"/>
        <v>0.62448133485815971</v>
      </c>
      <c r="D25" s="23">
        <f t="shared" si="21"/>
        <v>0.55204475683690624</v>
      </c>
      <c r="E25" s="2"/>
      <c r="F25" s="2"/>
      <c r="G25" s="2"/>
      <c r="H25" s="3" t="s">
        <v>83</v>
      </c>
      <c r="I25" s="23">
        <f t="shared" ref="I25:I30" si="22">B25*$B$33</f>
        <v>9.6998361123520602E-2</v>
      </c>
      <c r="J25" s="23">
        <f t="shared" ref="J25:J30" si="23">C25*$C$33</f>
        <v>8.4234075095701647E-2</v>
      </c>
      <c r="K25" s="23">
        <f t="shared" ref="K25:K30" si="24">D25*$D$33</f>
        <v>7.7049453240478197E-2</v>
      </c>
      <c r="L25" s="23">
        <f t="shared" ref="L25:L30" si="25">AVERAGE(I25:K25)</f>
        <v>8.6093963153233477E-2</v>
      </c>
      <c r="M25" s="23">
        <f t="shared" ref="M25:M30" si="26">L25/$L$31</f>
        <v>8.5965985575034015E-2</v>
      </c>
      <c r="N25" s="28">
        <f t="shared" ref="N25:N30" si="27">M25</f>
        <v>8.5965985575034015E-2</v>
      </c>
      <c r="O25" s="2"/>
      <c r="P25" s="34"/>
      <c r="Q25" s="34"/>
      <c r="R25" s="34"/>
      <c r="S25" s="34"/>
      <c r="T25" s="34"/>
      <c r="U25" s="34"/>
      <c r="V25" s="34"/>
    </row>
    <row r="26" spans="1:22" ht="15.5" x14ac:dyDescent="0.35">
      <c r="A26" s="3" t="s">
        <v>84</v>
      </c>
      <c r="B26" s="23">
        <f>GEOMEAN(B15,E15,H15,K15,N15,Q15,T15)</f>
        <v>1.1040895136738123</v>
      </c>
      <c r="C26" s="23">
        <f>GEOMEAN(C15,F15,I15,L15,O15,R15,U15)</f>
        <v>1.1699308127586869</v>
      </c>
      <c r="D26" s="23">
        <f>GEOMEAN(D15,G15,J15,M15,P15,S15,V15)</f>
        <v>1.2190136542044754</v>
      </c>
      <c r="E26" s="4"/>
      <c r="F26" s="4"/>
      <c r="G26" s="4"/>
      <c r="H26" s="3" t="s">
        <v>84</v>
      </c>
      <c r="I26" s="23">
        <f t="shared" si="22"/>
        <v>0.144139010685195</v>
      </c>
      <c r="J26" s="23">
        <f t="shared" si="23"/>
        <v>0.15780782296891868</v>
      </c>
      <c r="K26" s="23">
        <f t="shared" si="24"/>
        <v>0.17013898671422539</v>
      </c>
      <c r="L26" s="23">
        <f t="shared" si="25"/>
        <v>0.15736194012277968</v>
      </c>
      <c r="M26" s="23">
        <f t="shared" si="26"/>
        <v>0.1571280236057547</v>
      </c>
      <c r="N26" s="28">
        <f t="shared" si="27"/>
        <v>0.1571280236057547</v>
      </c>
      <c r="O26" s="4"/>
      <c r="P26" s="34"/>
      <c r="Q26" s="34"/>
      <c r="R26" s="34"/>
      <c r="S26" s="34"/>
      <c r="T26" s="34"/>
      <c r="U26" s="34"/>
      <c r="V26" s="34"/>
    </row>
    <row r="27" spans="1:22" ht="15.5" x14ac:dyDescent="0.35">
      <c r="A27" s="7" t="s">
        <v>85</v>
      </c>
      <c r="B27" s="23">
        <f t="shared" si="21"/>
        <v>1.2190136542044754</v>
      </c>
      <c r="C27" s="23">
        <f t="shared" si="21"/>
        <v>1.3687381066422017</v>
      </c>
      <c r="D27" s="23">
        <f t="shared" si="21"/>
        <v>1.4859942891369484</v>
      </c>
      <c r="E27" s="4"/>
      <c r="F27" s="4"/>
      <c r="G27" s="4"/>
      <c r="H27" s="7" t="s">
        <v>85</v>
      </c>
      <c r="I27" s="23">
        <f t="shared" si="22"/>
        <v>0.15914237020884139</v>
      </c>
      <c r="J27" s="23">
        <f t="shared" si="23"/>
        <v>0.18462423458570601</v>
      </c>
      <c r="K27" s="23">
        <f t="shared" si="24"/>
        <v>0.20740174791715463</v>
      </c>
      <c r="L27" s="23">
        <f t="shared" si="25"/>
        <v>0.18372278423723401</v>
      </c>
      <c r="M27" s="23">
        <f t="shared" si="26"/>
        <v>0.18344968266163464</v>
      </c>
      <c r="N27" s="28">
        <f t="shared" si="27"/>
        <v>0.18344968266163464</v>
      </c>
      <c r="O27" s="4"/>
      <c r="P27" s="34"/>
      <c r="Q27" s="34"/>
      <c r="R27" s="34"/>
      <c r="S27" s="34"/>
      <c r="T27" s="34"/>
      <c r="U27" s="34"/>
      <c r="V27" s="34"/>
    </row>
    <row r="28" spans="1:22" ht="15.5" x14ac:dyDescent="0.35">
      <c r="A28" s="3" t="s">
        <v>86</v>
      </c>
      <c r="B28" s="23">
        <f>GEOMEAN(B17,E17,H17,K17,N17,Q17,T17)</f>
        <v>0.74299714456847421</v>
      </c>
      <c r="C28" s="23">
        <f t="shared" si="21"/>
        <v>0.62448133485815971</v>
      </c>
      <c r="D28" s="23">
        <f t="shared" si="21"/>
        <v>0.55204475683690624</v>
      </c>
      <c r="E28" s="4"/>
      <c r="F28" s="4"/>
      <c r="G28" s="4"/>
      <c r="H28" s="3" t="s">
        <v>86</v>
      </c>
      <c r="I28" s="23">
        <f t="shared" si="22"/>
        <v>9.6998361123520602E-2</v>
      </c>
      <c r="J28" s="23">
        <f t="shared" si="23"/>
        <v>8.4234075095701647E-2</v>
      </c>
      <c r="K28" s="23">
        <f t="shared" si="24"/>
        <v>7.7049453240478197E-2</v>
      </c>
      <c r="L28" s="23">
        <f t="shared" si="25"/>
        <v>8.6093963153233477E-2</v>
      </c>
      <c r="M28" s="23">
        <f t="shared" si="26"/>
        <v>8.5965985575034015E-2</v>
      </c>
      <c r="N28" s="28">
        <f t="shared" si="27"/>
        <v>8.5965985575034015E-2</v>
      </c>
      <c r="O28" s="4"/>
      <c r="P28" s="34"/>
      <c r="Q28" s="34"/>
      <c r="R28" s="34"/>
      <c r="S28" s="34"/>
      <c r="T28" s="34"/>
      <c r="U28" s="34"/>
      <c r="V28" s="34"/>
    </row>
    <row r="29" spans="1:22" ht="15.5" x14ac:dyDescent="0.35">
      <c r="A29" s="3" t="s">
        <v>87</v>
      </c>
      <c r="B29" s="23">
        <f t="shared" ref="B29:D30" si="28">GEOMEAN(B18,E18,H18,K18,N18,Q18,T18)</f>
        <v>1.1040895136738123</v>
      </c>
      <c r="C29" s="23">
        <f t="shared" si="28"/>
        <v>1.1699308127586869</v>
      </c>
      <c r="D29" s="23">
        <f t="shared" si="28"/>
        <v>1.2190136542044754</v>
      </c>
      <c r="E29" s="4"/>
      <c r="F29" s="4"/>
      <c r="G29" s="4"/>
      <c r="H29" s="3" t="s">
        <v>87</v>
      </c>
      <c r="I29" s="23">
        <f t="shared" si="22"/>
        <v>0.144139010685195</v>
      </c>
      <c r="J29" s="23">
        <f t="shared" si="23"/>
        <v>0.15780782296891868</v>
      </c>
      <c r="K29" s="23">
        <f t="shared" si="24"/>
        <v>0.17013898671422539</v>
      </c>
      <c r="L29" s="23">
        <f t="shared" si="25"/>
        <v>0.15736194012277968</v>
      </c>
      <c r="M29" s="23">
        <f t="shared" si="26"/>
        <v>0.1571280236057547</v>
      </c>
      <c r="N29" s="28">
        <f t="shared" si="27"/>
        <v>0.1571280236057547</v>
      </c>
      <c r="O29" s="4"/>
      <c r="P29" s="34"/>
      <c r="Q29" s="34"/>
      <c r="R29" s="34"/>
      <c r="S29" s="34"/>
      <c r="T29" s="34"/>
      <c r="U29" s="34"/>
      <c r="V29" s="34"/>
    </row>
    <row r="30" spans="1:22" ht="15.5" x14ac:dyDescent="0.35">
      <c r="A30" s="7" t="s">
        <v>88</v>
      </c>
      <c r="B30" s="23">
        <f t="shared" si="28"/>
        <v>0.90572366426390671</v>
      </c>
      <c r="C30" s="23">
        <f t="shared" si="28"/>
        <v>0.85475139990715221</v>
      </c>
      <c r="D30" s="23">
        <f t="shared" si="28"/>
        <v>0.82033535600763796</v>
      </c>
      <c r="E30" s="4"/>
      <c r="F30" s="4"/>
      <c r="G30" s="4"/>
      <c r="H30" s="7" t="s">
        <v>88</v>
      </c>
      <c r="I30" s="23">
        <f t="shared" si="22"/>
        <v>0.11824232664502818</v>
      </c>
      <c r="J30" s="23">
        <f t="shared" si="23"/>
        <v>0.1152943884612477</v>
      </c>
      <c r="K30" s="23">
        <f t="shared" si="24"/>
        <v>0.11449504749647493</v>
      </c>
      <c r="L30" s="23">
        <f t="shared" si="25"/>
        <v>0.11601058753425027</v>
      </c>
      <c r="M30" s="23">
        <f t="shared" si="26"/>
        <v>0.11583813927545998</v>
      </c>
      <c r="N30" s="28">
        <f t="shared" si="27"/>
        <v>0.11583813927545998</v>
      </c>
      <c r="O30" s="4"/>
      <c r="P30" s="34"/>
      <c r="Q30" s="34"/>
      <c r="R30" s="34"/>
      <c r="S30" s="34"/>
      <c r="T30" s="34"/>
      <c r="U30" s="34"/>
      <c r="V30" s="34"/>
    </row>
    <row r="31" spans="1:22" ht="15.5" x14ac:dyDescent="0.35">
      <c r="A31" s="26" t="s">
        <v>70</v>
      </c>
      <c r="B31" s="25">
        <f>SUM(B24:B30)</f>
        <v>7.1648108275853106</v>
      </c>
      <c r="C31" s="25">
        <f t="shared" ref="C31:D31" si="29">SUM(C24:C30)</f>
        <v>7.4136426873407455</v>
      </c>
      <c r="D31" s="25">
        <f t="shared" si="29"/>
        <v>7.6598937957551634</v>
      </c>
      <c r="E31" s="4"/>
      <c r="F31" s="4"/>
      <c r="G31" s="4"/>
      <c r="H31" s="26" t="s">
        <v>70</v>
      </c>
      <c r="I31" s="23"/>
      <c r="J31" s="23"/>
      <c r="K31" s="23"/>
      <c r="L31" s="25">
        <f>SUM(L24:L30)</f>
        <v>1.0014887001800004</v>
      </c>
      <c r="M31" s="25">
        <f>SUM(M24:M30)</f>
        <v>0.99999999999999989</v>
      </c>
      <c r="N31" s="27">
        <f>SUM(N24:N30)</f>
        <v>0.99999999999999989</v>
      </c>
      <c r="O31" s="4"/>
      <c r="P31" s="34"/>
      <c r="Q31" s="34"/>
      <c r="R31" s="34"/>
      <c r="S31" s="34"/>
      <c r="T31" s="34"/>
      <c r="U31" s="34"/>
      <c r="V31" s="34"/>
    </row>
    <row r="32" spans="1:22" ht="15.5" x14ac:dyDescent="0.35">
      <c r="A32" s="26" t="s">
        <v>71</v>
      </c>
      <c r="B32" s="25">
        <f>1/B31</f>
        <v>0.13957102623699288</v>
      </c>
      <c r="C32" s="25">
        <f t="shared" ref="C32:D32" si="30">1/C31</f>
        <v>0.13488645759898329</v>
      </c>
      <c r="D32" s="25">
        <f t="shared" si="30"/>
        <v>0.13055011292116922</v>
      </c>
      <c r="E32" s="4"/>
      <c r="F32" s="4"/>
      <c r="G32" s="4"/>
      <c r="H32" s="4"/>
      <c r="I32" s="4"/>
      <c r="J32" s="4"/>
      <c r="K32" s="4"/>
      <c r="L32" s="4"/>
      <c r="M32" s="4"/>
      <c r="N32" s="4"/>
      <c r="O32" s="4"/>
      <c r="P32" s="4"/>
      <c r="Q32" s="4"/>
      <c r="R32" s="4"/>
      <c r="S32" s="4"/>
      <c r="T32" s="4"/>
      <c r="U32" s="4"/>
      <c r="V32" s="4"/>
    </row>
    <row r="33" spans="1:22" ht="15.5" x14ac:dyDescent="0.35">
      <c r="A33" s="26" t="s">
        <v>72</v>
      </c>
      <c r="B33" s="25">
        <f>MIN(B32:D32)</f>
        <v>0.13055011292116922</v>
      </c>
      <c r="C33" s="25">
        <f>MEDIAN(B32:D32)</f>
        <v>0.13488645759898329</v>
      </c>
      <c r="D33" s="25">
        <f>MAX(B32:D32)</f>
        <v>0.13957102623699288</v>
      </c>
      <c r="E33" s="4"/>
      <c r="F33" s="4"/>
      <c r="G33" s="4"/>
      <c r="H33" s="4"/>
      <c r="I33" s="4"/>
      <c r="J33" s="4"/>
      <c r="K33" s="4"/>
      <c r="L33" s="4"/>
      <c r="M33" s="4"/>
      <c r="N33" s="4"/>
      <c r="O33" s="4"/>
      <c r="P33" s="4"/>
      <c r="Q33" s="4"/>
      <c r="R33" s="4"/>
      <c r="S33" s="4"/>
      <c r="T33" s="4"/>
      <c r="U33" s="4"/>
      <c r="V33" s="4"/>
    </row>
  </sheetData>
  <mergeCells count="11">
    <mergeCell ref="T12:V12"/>
    <mergeCell ref="B23:D23"/>
    <mergeCell ref="I23:K23"/>
    <mergeCell ref="P23:V23"/>
    <mergeCell ref="P24:V31"/>
    <mergeCell ref="B12:D12"/>
    <mergeCell ref="E12:G12"/>
    <mergeCell ref="H12:J12"/>
    <mergeCell ref="K12:M12"/>
    <mergeCell ref="N12:P12"/>
    <mergeCell ref="Q12:S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8D68-0AF2-4B32-9C46-EEFCAE207F6C}">
  <dimension ref="A1:V33"/>
  <sheetViews>
    <sheetView workbookViewId="0">
      <selection activeCell="P24" sqref="P24:V31"/>
    </sheetView>
  </sheetViews>
  <sheetFormatPr defaultRowHeight="14.5" x14ac:dyDescent="0.35"/>
  <cols>
    <col min="1" max="1" width="83.08984375" bestFit="1" customWidth="1"/>
    <col min="2" max="2" width="7.7265625" bestFit="1" customWidth="1"/>
    <col min="3" max="3" width="4.90625" bestFit="1" customWidth="1"/>
    <col min="4" max="4" width="5.1796875" bestFit="1" customWidth="1"/>
    <col min="5" max="5" width="10" bestFit="1" customWidth="1"/>
    <col min="6" max="6" width="7.54296875" bestFit="1" customWidth="1"/>
    <col min="7" max="7" width="11.81640625" bestFit="1" customWidth="1"/>
    <col min="8" max="8" width="16.6328125" bestFit="1" customWidth="1"/>
  </cols>
  <sheetData>
    <row r="1" spans="1:22" ht="15.5" x14ac:dyDescent="0.35">
      <c r="A1" s="12" t="s">
        <v>90</v>
      </c>
      <c r="B1" s="11"/>
      <c r="C1" s="11"/>
      <c r="D1" s="11"/>
      <c r="E1" s="11"/>
      <c r="F1" s="11"/>
      <c r="G1" s="11"/>
      <c r="H1" s="11"/>
    </row>
    <row r="2" spans="1:22" ht="15.5" x14ac:dyDescent="0.35">
      <c r="A2" s="3"/>
      <c r="B2" s="7" t="s">
        <v>18</v>
      </c>
      <c r="C2" s="3" t="s">
        <v>21</v>
      </c>
      <c r="D2" s="3" t="s">
        <v>24</v>
      </c>
      <c r="E2" s="7" t="s">
        <v>27</v>
      </c>
      <c r="F2" s="3" t="s">
        <v>30</v>
      </c>
      <c r="G2" s="3" t="s">
        <v>33</v>
      </c>
      <c r="H2" s="7" t="s">
        <v>36</v>
      </c>
    </row>
    <row r="3" spans="1:22" ht="15.5" x14ac:dyDescent="0.35">
      <c r="A3" s="7" t="s">
        <v>18</v>
      </c>
      <c r="B3" s="3">
        <v>1</v>
      </c>
      <c r="C3" s="3">
        <v>1</v>
      </c>
      <c r="D3" s="3">
        <v>1</v>
      </c>
      <c r="E3" s="3">
        <v>2</v>
      </c>
      <c r="F3" s="3">
        <v>2</v>
      </c>
      <c r="G3" s="3">
        <f>1/3</f>
        <v>0.33333333333333331</v>
      </c>
      <c r="H3" s="3">
        <f>1/3</f>
        <v>0.33333333333333331</v>
      </c>
    </row>
    <row r="4" spans="1:22" x14ac:dyDescent="0.35">
      <c r="A4" s="3" t="s">
        <v>21</v>
      </c>
      <c r="B4" s="3">
        <f>1/C3</f>
        <v>1</v>
      </c>
      <c r="C4" s="3">
        <v>1</v>
      </c>
      <c r="D4" s="3">
        <v>1</v>
      </c>
      <c r="E4" s="3">
        <f>1/4</f>
        <v>0.25</v>
      </c>
      <c r="F4" s="3">
        <v>1</v>
      </c>
      <c r="G4" s="3">
        <v>2</v>
      </c>
      <c r="H4" s="3">
        <f>1/2</f>
        <v>0.5</v>
      </c>
    </row>
    <row r="5" spans="1:22" x14ac:dyDescent="0.35">
      <c r="A5" s="3" t="s">
        <v>24</v>
      </c>
      <c r="B5" s="3">
        <f>1/D3</f>
        <v>1</v>
      </c>
      <c r="C5" s="3">
        <f>1/D4</f>
        <v>1</v>
      </c>
      <c r="D5" s="3">
        <v>1</v>
      </c>
      <c r="E5" s="3">
        <v>1</v>
      </c>
      <c r="F5" s="3">
        <v>2</v>
      </c>
      <c r="G5" s="3">
        <f>1/2</f>
        <v>0.5</v>
      </c>
      <c r="H5" s="3">
        <v>1</v>
      </c>
    </row>
    <row r="6" spans="1:22" ht="15.5" x14ac:dyDescent="0.35">
      <c r="A6" s="7" t="s">
        <v>27</v>
      </c>
      <c r="B6" s="3">
        <f>1/E3</f>
        <v>0.5</v>
      </c>
      <c r="C6" s="3">
        <f>1/E4</f>
        <v>4</v>
      </c>
      <c r="D6" s="3">
        <f>1/E5</f>
        <v>1</v>
      </c>
      <c r="E6" s="3">
        <v>1</v>
      </c>
      <c r="F6" s="3">
        <v>2</v>
      </c>
      <c r="G6" s="3">
        <v>1</v>
      </c>
      <c r="H6" s="3">
        <v>2</v>
      </c>
    </row>
    <row r="7" spans="1:22" x14ac:dyDescent="0.35">
      <c r="A7" s="3" t="s">
        <v>30</v>
      </c>
      <c r="B7" s="3">
        <f>1/F3</f>
        <v>0.5</v>
      </c>
      <c r="C7" s="3">
        <f>1/F4</f>
        <v>1</v>
      </c>
      <c r="D7" s="3">
        <f>1/F5</f>
        <v>0.5</v>
      </c>
      <c r="E7" s="3">
        <f>1/F6</f>
        <v>0.5</v>
      </c>
      <c r="F7" s="3">
        <v>1</v>
      </c>
      <c r="G7" s="3">
        <v>1</v>
      </c>
      <c r="H7" s="3">
        <v>2</v>
      </c>
    </row>
    <row r="8" spans="1:22" x14ac:dyDescent="0.35">
      <c r="A8" s="3" t="s">
        <v>33</v>
      </c>
      <c r="B8" s="3">
        <f>1/G3</f>
        <v>3</v>
      </c>
      <c r="C8" s="3">
        <f>1/G4</f>
        <v>0.5</v>
      </c>
      <c r="D8" s="3">
        <f>1/G5</f>
        <v>2</v>
      </c>
      <c r="E8" s="3">
        <f>1/G6</f>
        <v>1</v>
      </c>
      <c r="F8" s="3">
        <f>1/G7</f>
        <v>1</v>
      </c>
      <c r="G8" s="3">
        <v>1</v>
      </c>
      <c r="H8" s="3">
        <v>2</v>
      </c>
    </row>
    <row r="9" spans="1:22" ht="15.5" x14ac:dyDescent="0.35">
      <c r="A9" s="7" t="s">
        <v>36</v>
      </c>
      <c r="B9" s="3">
        <f>1/H3</f>
        <v>3</v>
      </c>
      <c r="C9" s="3">
        <f>1/H4</f>
        <v>2</v>
      </c>
      <c r="D9" s="3">
        <f>1/H5</f>
        <v>1</v>
      </c>
      <c r="E9" s="3">
        <f>1/H6</f>
        <v>0.5</v>
      </c>
      <c r="F9" s="3">
        <f>1/H7</f>
        <v>0.5</v>
      </c>
      <c r="G9" s="3">
        <f>1/H8</f>
        <v>0.5</v>
      </c>
      <c r="H9" s="3">
        <v>1</v>
      </c>
    </row>
    <row r="12" spans="1:22" ht="15.5" x14ac:dyDescent="0.35">
      <c r="A12" s="7" t="s">
        <v>48</v>
      </c>
      <c r="B12" s="36" t="s">
        <v>18</v>
      </c>
      <c r="C12" s="37"/>
      <c r="D12" s="38"/>
      <c r="E12" s="36" t="s">
        <v>83</v>
      </c>
      <c r="F12" s="37"/>
      <c r="G12" s="38"/>
      <c r="H12" s="36" t="s">
        <v>84</v>
      </c>
      <c r="I12" s="37"/>
      <c r="J12" s="38"/>
      <c r="K12" s="36" t="s">
        <v>85</v>
      </c>
      <c r="L12" s="37"/>
      <c r="M12" s="38"/>
      <c r="N12" s="36" t="s">
        <v>86</v>
      </c>
      <c r="O12" s="37"/>
      <c r="P12" s="38"/>
      <c r="Q12" s="36" t="s">
        <v>87</v>
      </c>
      <c r="R12" s="37"/>
      <c r="S12" s="38"/>
      <c r="T12" s="39" t="s">
        <v>88</v>
      </c>
      <c r="U12" s="39"/>
      <c r="V12" s="39"/>
    </row>
    <row r="13" spans="1:22" ht="15.5" x14ac:dyDescent="0.35">
      <c r="A13" s="7" t="s">
        <v>18</v>
      </c>
      <c r="B13" s="13">
        <v>1</v>
      </c>
      <c r="C13" s="13">
        <v>1</v>
      </c>
      <c r="D13" s="13">
        <v>1</v>
      </c>
      <c r="E13" s="13">
        <v>1</v>
      </c>
      <c r="F13" s="13">
        <v>1</v>
      </c>
      <c r="G13" s="13">
        <v>1</v>
      </c>
      <c r="H13" s="13">
        <v>1</v>
      </c>
      <c r="I13" s="13">
        <v>1</v>
      </c>
      <c r="J13" s="13">
        <v>1</v>
      </c>
      <c r="K13" s="13">
        <v>2</v>
      </c>
      <c r="L13" s="13">
        <v>3</v>
      </c>
      <c r="M13" s="13">
        <v>4</v>
      </c>
      <c r="N13" s="13">
        <v>2</v>
      </c>
      <c r="O13" s="13">
        <v>3</v>
      </c>
      <c r="P13" s="13">
        <v>4</v>
      </c>
      <c r="Q13" s="13">
        <f>1/2</f>
        <v>0.5</v>
      </c>
      <c r="R13" s="13">
        <f>1/3</f>
        <v>0.33333333333333331</v>
      </c>
      <c r="S13" s="13">
        <f>1/4</f>
        <v>0.25</v>
      </c>
      <c r="T13" s="13">
        <f>1/2</f>
        <v>0.5</v>
      </c>
      <c r="U13" s="13">
        <f>1/3</f>
        <v>0.33333333333333331</v>
      </c>
      <c r="V13" s="13">
        <f>1/4</f>
        <v>0.25</v>
      </c>
    </row>
    <row r="14" spans="1:22" ht="15.5" x14ac:dyDescent="0.35">
      <c r="A14" s="3" t="s">
        <v>83</v>
      </c>
      <c r="B14" s="13">
        <f>1/E13</f>
        <v>1</v>
      </c>
      <c r="C14" s="13">
        <f t="shared" ref="C14:D14" si="0">1/F13</f>
        <v>1</v>
      </c>
      <c r="D14" s="13">
        <f t="shared" si="0"/>
        <v>1</v>
      </c>
      <c r="E14" s="13">
        <v>1</v>
      </c>
      <c r="F14" s="13">
        <v>1</v>
      </c>
      <c r="G14" s="13">
        <v>1</v>
      </c>
      <c r="H14" s="13">
        <v>1</v>
      </c>
      <c r="I14" s="13">
        <v>1</v>
      </c>
      <c r="J14" s="13">
        <v>1</v>
      </c>
      <c r="K14" s="13">
        <f>1/2</f>
        <v>0.5</v>
      </c>
      <c r="L14" s="13">
        <f>1/3</f>
        <v>0.33333333333333331</v>
      </c>
      <c r="M14" s="13">
        <f>1/4</f>
        <v>0.25</v>
      </c>
      <c r="N14" s="13">
        <v>1</v>
      </c>
      <c r="O14" s="13">
        <v>1</v>
      </c>
      <c r="P14" s="13">
        <v>1</v>
      </c>
      <c r="Q14" s="13">
        <v>2</v>
      </c>
      <c r="R14" s="13">
        <v>3</v>
      </c>
      <c r="S14" s="13">
        <v>4</v>
      </c>
      <c r="T14" s="13">
        <f>1/2</f>
        <v>0.5</v>
      </c>
      <c r="U14" s="13">
        <f>1/3</f>
        <v>0.33333333333333331</v>
      </c>
      <c r="V14" s="13">
        <f>1/4</f>
        <v>0.25</v>
      </c>
    </row>
    <row r="15" spans="1:22" ht="15.5" x14ac:dyDescent="0.35">
      <c r="A15" s="3" t="s">
        <v>84</v>
      </c>
      <c r="B15" s="13">
        <f>1/H13</f>
        <v>1</v>
      </c>
      <c r="C15" s="13">
        <f t="shared" ref="C15:D15" si="1">1/I13</f>
        <v>1</v>
      </c>
      <c r="D15" s="13">
        <f t="shared" si="1"/>
        <v>1</v>
      </c>
      <c r="E15" s="13">
        <f>1/H14</f>
        <v>1</v>
      </c>
      <c r="F15" s="13">
        <f t="shared" ref="F15:G15" si="2">1/I14</f>
        <v>1</v>
      </c>
      <c r="G15" s="13">
        <f t="shared" si="2"/>
        <v>1</v>
      </c>
      <c r="H15" s="13">
        <v>1</v>
      </c>
      <c r="I15" s="13">
        <v>1</v>
      </c>
      <c r="J15" s="13">
        <v>1</v>
      </c>
      <c r="K15" s="13">
        <v>1</v>
      </c>
      <c r="L15" s="13">
        <v>1</v>
      </c>
      <c r="M15" s="13">
        <v>1</v>
      </c>
      <c r="N15" s="13">
        <v>2</v>
      </c>
      <c r="O15" s="13">
        <v>3</v>
      </c>
      <c r="P15" s="13">
        <v>4</v>
      </c>
      <c r="Q15" s="13">
        <f>1/2</f>
        <v>0.5</v>
      </c>
      <c r="R15" s="13">
        <f>1/3</f>
        <v>0.33333333333333331</v>
      </c>
      <c r="S15" s="13">
        <f>1/4</f>
        <v>0.25</v>
      </c>
      <c r="T15" s="13">
        <v>1</v>
      </c>
      <c r="U15" s="13">
        <v>1</v>
      </c>
      <c r="V15" s="13">
        <v>1</v>
      </c>
    </row>
    <row r="16" spans="1:22" ht="15.5" x14ac:dyDescent="0.35">
      <c r="A16" s="7" t="s">
        <v>85</v>
      </c>
      <c r="B16" s="13">
        <f>1/K13</f>
        <v>0.5</v>
      </c>
      <c r="C16" s="13">
        <f t="shared" ref="C16:D16" si="3">1/L13</f>
        <v>0.33333333333333331</v>
      </c>
      <c r="D16" s="13">
        <f t="shared" si="3"/>
        <v>0.25</v>
      </c>
      <c r="E16" s="13">
        <f>1/K14</f>
        <v>2</v>
      </c>
      <c r="F16" s="13">
        <f t="shared" ref="F16:G16" si="4">1/L14</f>
        <v>3</v>
      </c>
      <c r="G16" s="13">
        <f t="shared" si="4"/>
        <v>4</v>
      </c>
      <c r="H16" s="13">
        <f>1/K15</f>
        <v>1</v>
      </c>
      <c r="I16" s="13">
        <f t="shared" ref="I16:J16" si="5">1/L15</f>
        <v>1</v>
      </c>
      <c r="J16" s="13">
        <f t="shared" si="5"/>
        <v>1</v>
      </c>
      <c r="K16" s="13">
        <v>1</v>
      </c>
      <c r="L16" s="13">
        <v>1</v>
      </c>
      <c r="M16" s="13">
        <v>1</v>
      </c>
      <c r="N16" s="13">
        <v>2</v>
      </c>
      <c r="O16" s="13">
        <v>3</v>
      </c>
      <c r="P16" s="13">
        <v>4</v>
      </c>
      <c r="Q16" s="13">
        <v>1</v>
      </c>
      <c r="R16" s="13">
        <v>1</v>
      </c>
      <c r="S16" s="13">
        <v>1</v>
      </c>
      <c r="T16" s="13">
        <v>2</v>
      </c>
      <c r="U16" s="13">
        <v>3</v>
      </c>
      <c r="V16" s="13">
        <v>4</v>
      </c>
    </row>
    <row r="17" spans="1:22" ht="15.5" x14ac:dyDescent="0.35">
      <c r="A17" s="3" t="s">
        <v>86</v>
      </c>
      <c r="B17" s="13">
        <f>1/N13</f>
        <v>0.5</v>
      </c>
      <c r="C17" s="13">
        <f t="shared" ref="C17:D17" si="6">1/O13</f>
        <v>0.33333333333333331</v>
      </c>
      <c r="D17" s="13">
        <f t="shared" si="6"/>
        <v>0.25</v>
      </c>
      <c r="E17" s="13">
        <f>1/N14</f>
        <v>1</v>
      </c>
      <c r="F17" s="13">
        <f t="shared" ref="F17:G17" si="7">1/O14</f>
        <v>1</v>
      </c>
      <c r="G17" s="13">
        <f t="shared" si="7"/>
        <v>1</v>
      </c>
      <c r="H17" s="13">
        <f>1/N15</f>
        <v>0.5</v>
      </c>
      <c r="I17" s="13">
        <f t="shared" ref="I17:J17" si="8">1/O15</f>
        <v>0.33333333333333331</v>
      </c>
      <c r="J17" s="13">
        <f t="shared" si="8"/>
        <v>0.25</v>
      </c>
      <c r="K17" s="13">
        <f>1/N16</f>
        <v>0.5</v>
      </c>
      <c r="L17" s="13">
        <f t="shared" ref="L17:M17" si="9">1/O16</f>
        <v>0.33333333333333331</v>
      </c>
      <c r="M17" s="13">
        <f t="shared" si="9"/>
        <v>0.25</v>
      </c>
      <c r="N17" s="13">
        <v>1</v>
      </c>
      <c r="O17" s="13">
        <v>1</v>
      </c>
      <c r="P17" s="13">
        <v>1</v>
      </c>
      <c r="Q17" s="13">
        <v>1</v>
      </c>
      <c r="R17" s="13">
        <v>1</v>
      </c>
      <c r="S17" s="13">
        <v>1</v>
      </c>
      <c r="T17" s="13">
        <v>2</v>
      </c>
      <c r="U17" s="13">
        <v>3</v>
      </c>
      <c r="V17" s="13">
        <v>4</v>
      </c>
    </row>
    <row r="18" spans="1:22" ht="15.5" x14ac:dyDescent="0.35">
      <c r="A18" s="3" t="s">
        <v>87</v>
      </c>
      <c r="B18" s="13">
        <f>1/Q13</f>
        <v>2</v>
      </c>
      <c r="C18" s="13">
        <f t="shared" ref="C18:D18" si="10">1/R13</f>
        <v>3</v>
      </c>
      <c r="D18" s="13">
        <f t="shared" si="10"/>
        <v>4</v>
      </c>
      <c r="E18" s="13">
        <f>1/Q14</f>
        <v>0.5</v>
      </c>
      <c r="F18" s="13">
        <f t="shared" ref="F18:G18" si="11">1/R14</f>
        <v>0.33333333333333331</v>
      </c>
      <c r="G18" s="13">
        <f t="shared" si="11"/>
        <v>0.25</v>
      </c>
      <c r="H18" s="13">
        <f>1/Q15</f>
        <v>2</v>
      </c>
      <c r="I18" s="13">
        <f t="shared" ref="I18:J18" si="12">1/R15</f>
        <v>3</v>
      </c>
      <c r="J18" s="13">
        <f t="shared" si="12"/>
        <v>4</v>
      </c>
      <c r="K18" s="13">
        <f>1/Q16</f>
        <v>1</v>
      </c>
      <c r="L18" s="13">
        <f t="shared" ref="L18:M18" si="13">1/R16</f>
        <v>1</v>
      </c>
      <c r="M18" s="13">
        <f t="shared" si="13"/>
        <v>1</v>
      </c>
      <c r="N18" s="13">
        <f>1/Q17</f>
        <v>1</v>
      </c>
      <c r="O18" s="13">
        <f t="shared" ref="O18:P18" si="14">1/R17</f>
        <v>1</v>
      </c>
      <c r="P18" s="13">
        <f t="shared" si="14"/>
        <v>1</v>
      </c>
      <c r="Q18" s="13">
        <v>1</v>
      </c>
      <c r="R18" s="13">
        <v>1</v>
      </c>
      <c r="S18" s="13">
        <v>1</v>
      </c>
      <c r="T18" s="13">
        <v>2</v>
      </c>
      <c r="U18" s="13">
        <v>3</v>
      </c>
      <c r="V18" s="13">
        <v>4</v>
      </c>
    </row>
    <row r="19" spans="1:22" ht="15.5" x14ac:dyDescent="0.35">
      <c r="A19" s="7" t="s">
        <v>88</v>
      </c>
      <c r="B19" s="13">
        <f>1/T13</f>
        <v>2</v>
      </c>
      <c r="C19" s="13">
        <f t="shared" ref="C19:D19" si="15">1/U13</f>
        <v>3</v>
      </c>
      <c r="D19" s="13">
        <f t="shared" si="15"/>
        <v>4</v>
      </c>
      <c r="E19" s="13">
        <f>1/T14</f>
        <v>2</v>
      </c>
      <c r="F19" s="13">
        <f t="shared" ref="F19:G19" si="16">1/U14</f>
        <v>3</v>
      </c>
      <c r="G19" s="13">
        <f t="shared" si="16"/>
        <v>4</v>
      </c>
      <c r="H19" s="13">
        <f>1/T15</f>
        <v>1</v>
      </c>
      <c r="I19" s="13">
        <f t="shared" ref="I19:J19" si="17">1/U15</f>
        <v>1</v>
      </c>
      <c r="J19" s="13">
        <f t="shared" si="17"/>
        <v>1</v>
      </c>
      <c r="K19" s="13">
        <f>1/T16</f>
        <v>0.5</v>
      </c>
      <c r="L19" s="13">
        <f t="shared" ref="L19:M19" si="18">1/U16</f>
        <v>0.33333333333333331</v>
      </c>
      <c r="M19" s="13">
        <f t="shared" si="18"/>
        <v>0.25</v>
      </c>
      <c r="N19" s="13">
        <f>1/T17</f>
        <v>0.5</v>
      </c>
      <c r="O19" s="13">
        <f t="shared" ref="O19:P19" si="19">1/U17</f>
        <v>0.33333333333333331</v>
      </c>
      <c r="P19" s="13">
        <f t="shared" si="19"/>
        <v>0.25</v>
      </c>
      <c r="Q19" s="13">
        <f>1/T18</f>
        <v>0.5</v>
      </c>
      <c r="R19" s="13">
        <f t="shared" ref="R19:S19" si="20">1/U18</f>
        <v>0.33333333333333331</v>
      </c>
      <c r="S19" s="13">
        <f t="shared" si="20"/>
        <v>0.25</v>
      </c>
      <c r="T19" s="13">
        <v>1</v>
      </c>
      <c r="U19" s="13">
        <v>1</v>
      </c>
      <c r="V19" s="13">
        <v>1</v>
      </c>
    </row>
    <row r="20" spans="1:22" ht="15.5" x14ac:dyDescent="0.35">
      <c r="A20" s="2"/>
      <c r="B20" s="2"/>
      <c r="C20" s="2"/>
      <c r="D20" s="2"/>
      <c r="E20" s="2"/>
      <c r="F20" s="2"/>
      <c r="G20" s="2"/>
      <c r="H20" s="2"/>
      <c r="I20" s="2"/>
      <c r="J20" s="2"/>
      <c r="K20" s="2"/>
      <c r="L20" s="2"/>
      <c r="M20" s="2"/>
      <c r="N20" s="2"/>
      <c r="O20" s="2"/>
      <c r="P20" s="2"/>
      <c r="Q20" s="2"/>
      <c r="R20" s="2"/>
      <c r="S20" s="2"/>
      <c r="T20" s="2"/>
      <c r="U20" s="2"/>
      <c r="V20" s="2"/>
    </row>
    <row r="21" spans="1:22" ht="15.5" x14ac:dyDescent="0.35">
      <c r="A21" s="2" t="s">
        <v>69</v>
      </c>
      <c r="B21" s="2"/>
      <c r="C21" s="2"/>
      <c r="D21" s="2"/>
      <c r="E21" s="2"/>
      <c r="F21" s="2"/>
      <c r="G21" s="2"/>
      <c r="H21" s="2"/>
      <c r="I21" s="2"/>
      <c r="J21" s="2"/>
      <c r="K21" s="2"/>
      <c r="L21" s="2"/>
      <c r="M21" s="2"/>
      <c r="N21" s="2"/>
      <c r="O21" s="2"/>
      <c r="P21" s="2"/>
      <c r="Q21" s="2"/>
      <c r="R21" s="2"/>
      <c r="S21" s="2"/>
      <c r="T21" s="2"/>
      <c r="U21" s="2"/>
      <c r="V21" s="2"/>
    </row>
    <row r="22" spans="1:22" ht="15.5" x14ac:dyDescent="0.35">
      <c r="A22" s="2"/>
      <c r="B22" s="2"/>
      <c r="C22" s="2"/>
      <c r="D22" s="2"/>
      <c r="E22" s="2"/>
      <c r="F22" s="2"/>
      <c r="G22" s="2"/>
      <c r="H22" s="2"/>
      <c r="I22" s="2"/>
      <c r="J22" s="2"/>
      <c r="K22" s="2"/>
      <c r="L22" s="2"/>
      <c r="M22" s="2"/>
      <c r="N22" s="2"/>
      <c r="O22" s="2"/>
      <c r="P22" s="2"/>
      <c r="Q22" s="2"/>
      <c r="R22" s="2"/>
      <c r="S22" s="2"/>
      <c r="T22" s="2"/>
      <c r="U22" s="2"/>
      <c r="V22" s="2"/>
    </row>
    <row r="23" spans="1:22" ht="15.5" x14ac:dyDescent="0.35">
      <c r="A23" s="7" t="s">
        <v>48</v>
      </c>
      <c r="B23" s="35" t="s">
        <v>69</v>
      </c>
      <c r="C23" s="35"/>
      <c r="D23" s="35"/>
      <c r="E23" s="2"/>
      <c r="F23" s="2"/>
      <c r="G23" s="2"/>
      <c r="H23" s="7" t="s">
        <v>48</v>
      </c>
      <c r="I23" s="35" t="s">
        <v>73</v>
      </c>
      <c r="J23" s="35"/>
      <c r="K23" s="35"/>
      <c r="L23" s="24" t="s">
        <v>74</v>
      </c>
      <c r="M23" s="23" t="s">
        <v>75</v>
      </c>
      <c r="N23" s="23" t="s">
        <v>76</v>
      </c>
      <c r="O23" s="2"/>
      <c r="P23" s="35" t="s">
        <v>77</v>
      </c>
      <c r="Q23" s="35"/>
      <c r="R23" s="35"/>
      <c r="S23" s="35"/>
      <c r="T23" s="35"/>
      <c r="U23" s="35"/>
      <c r="V23" s="35"/>
    </row>
    <row r="24" spans="1:22" ht="15.5" x14ac:dyDescent="0.35">
      <c r="A24" s="7" t="s">
        <v>18</v>
      </c>
      <c r="B24" s="23">
        <f>GEOMEAN(B13,E13,H13,K13,N13,Q13,T13)</f>
        <v>1</v>
      </c>
      <c r="C24" s="23">
        <f>GEOMEAN(C13,F13,I13,L13,O13,R13,U13)</f>
        <v>1</v>
      </c>
      <c r="D24" s="23">
        <f>GEOMEAN(D13,G13,J13,M13,P13,S13,V13)</f>
        <v>1</v>
      </c>
      <c r="E24" s="2"/>
      <c r="F24" s="2"/>
      <c r="G24" s="2"/>
      <c r="H24" s="7" t="s">
        <v>18</v>
      </c>
      <c r="I24" s="23">
        <f>B24*$B$33</f>
        <v>0.13725687817391194</v>
      </c>
      <c r="J24" s="23">
        <f>C24*$C$33</f>
        <v>0.1393227443898504</v>
      </c>
      <c r="K24" s="23">
        <f>D24*$D$33</f>
        <v>0.14144651709140552</v>
      </c>
      <c r="L24" s="23">
        <f>AVERAGE(I24:K24)</f>
        <v>0.13934204655172264</v>
      </c>
      <c r="M24" s="23">
        <f>L24/$L$31</f>
        <v>0.13930006515533627</v>
      </c>
      <c r="N24" s="28">
        <f>M24</f>
        <v>0.13930006515533627</v>
      </c>
      <c r="O24" s="2"/>
      <c r="P24" s="34" t="s">
        <v>109</v>
      </c>
      <c r="Q24" s="34"/>
      <c r="R24" s="34"/>
      <c r="S24" s="34"/>
      <c r="T24" s="34"/>
      <c r="U24" s="34"/>
      <c r="V24" s="34"/>
    </row>
    <row r="25" spans="1:22" ht="15.5" x14ac:dyDescent="0.35">
      <c r="A25" s="3" t="s">
        <v>83</v>
      </c>
      <c r="B25" s="23">
        <f t="shared" ref="B25:D28" si="21">GEOMEAN(B14,E14,H14,K14,N14,Q14,T14)</f>
        <v>0.90572366426390671</v>
      </c>
      <c r="C25" s="23">
        <f t="shared" si="21"/>
        <v>0.85475139990715221</v>
      </c>
      <c r="D25" s="23">
        <f t="shared" si="21"/>
        <v>0.82033535600763796</v>
      </c>
      <c r="E25" s="2"/>
      <c r="F25" s="2"/>
      <c r="G25" s="2"/>
      <c r="H25" s="3" t="s">
        <v>83</v>
      </c>
      <c r="I25" s="23">
        <f t="shared" ref="I25:I30" si="22">B25*$B$33</f>
        <v>0.12431680264510016</v>
      </c>
      <c r="J25" s="23">
        <f t="shared" ref="J25:J30" si="23">C25*$C$33</f>
        <v>0.11908631080613097</v>
      </c>
      <c r="K25" s="23">
        <f t="shared" ref="K25:K30" si="24">D25*$D$33</f>
        <v>0.11603357895421859</v>
      </c>
      <c r="L25" s="23">
        <f t="shared" ref="L25:L30" si="25">AVERAGE(I25:K25)</f>
        <v>0.11981223080181658</v>
      </c>
      <c r="M25" s="23">
        <f t="shared" ref="M25:M30" si="26">L25/$L$31</f>
        <v>0.11977613340783035</v>
      </c>
      <c r="N25" s="28">
        <f t="shared" ref="N25:N30" si="27">M25</f>
        <v>0.11977613340783035</v>
      </c>
      <c r="O25" s="2"/>
      <c r="P25" s="34"/>
      <c r="Q25" s="34"/>
      <c r="R25" s="34"/>
      <c r="S25" s="34"/>
      <c r="T25" s="34"/>
      <c r="U25" s="34"/>
      <c r="V25" s="34"/>
    </row>
    <row r="26" spans="1:22" ht="15.5" x14ac:dyDescent="0.35">
      <c r="A26" s="3" t="s">
        <v>84</v>
      </c>
      <c r="B26" s="23">
        <f>GEOMEAN(B15,E15,H15,K15,N15,Q15,T15)</f>
        <v>1</v>
      </c>
      <c r="C26" s="23">
        <f>GEOMEAN(C15,F15,I15,L15,O15,R15,U15)</f>
        <v>1</v>
      </c>
      <c r="D26" s="23">
        <f>GEOMEAN(D15,G15,J15,M15,P15,S15,V15)</f>
        <v>1</v>
      </c>
      <c r="E26" s="4"/>
      <c r="F26" s="4"/>
      <c r="G26" s="4"/>
      <c r="H26" s="3" t="s">
        <v>84</v>
      </c>
      <c r="I26" s="23">
        <f t="shared" si="22"/>
        <v>0.13725687817391194</v>
      </c>
      <c r="J26" s="23">
        <f t="shared" si="23"/>
        <v>0.1393227443898504</v>
      </c>
      <c r="K26" s="23">
        <f t="shared" si="24"/>
        <v>0.14144651709140552</v>
      </c>
      <c r="L26" s="23">
        <f t="shared" si="25"/>
        <v>0.13934204655172264</v>
      </c>
      <c r="M26" s="23">
        <f t="shared" si="26"/>
        <v>0.13930006515533627</v>
      </c>
      <c r="N26" s="28">
        <f t="shared" si="27"/>
        <v>0.13930006515533627</v>
      </c>
      <c r="O26" s="4"/>
      <c r="P26" s="34"/>
      <c r="Q26" s="34"/>
      <c r="R26" s="34"/>
      <c r="S26" s="34"/>
      <c r="T26" s="34"/>
      <c r="U26" s="34"/>
      <c r="V26" s="34"/>
    </row>
    <row r="27" spans="1:22" ht="15.5" x14ac:dyDescent="0.35">
      <c r="A27" s="7" t="s">
        <v>85</v>
      </c>
      <c r="B27" s="23">
        <f t="shared" si="21"/>
        <v>1.2190136542044754</v>
      </c>
      <c r="C27" s="23">
        <f t="shared" si="21"/>
        <v>1.3687381066422017</v>
      </c>
      <c r="D27" s="23">
        <f t="shared" si="21"/>
        <v>1.4859942891369484</v>
      </c>
      <c r="E27" s="4"/>
      <c r="F27" s="4"/>
      <c r="G27" s="4"/>
      <c r="H27" s="7" t="s">
        <v>85</v>
      </c>
      <c r="I27" s="23">
        <f t="shared" si="22"/>
        <v>0.16731800862747889</v>
      </c>
      <c r="J27" s="23">
        <f t="shared" si="23"/>
        <v>0.19069634936835927</v>
      </c>
      <c r="K27" s="23">
        <f t="shared" si="24"/>
        <v>0.21018871661614036</v>
      </c>
      <c r="L27" s="23">
        <f t="shared" si="25"/>
        <v>0.18940102487065949</v>
      </c>
      <c r="M27" s="23">
        <f t="shared" si="26"/>
        <v>0.18934396155274613</v>
      </c>
      <c r="N27" s="28">
        <f t="shared" si="27"/>
        <v>0.18934396155274613</v>
      </c>
      <c r="O27" s="4"/>
      <c r="P27" s="34"/>
      <c r="Q27" s="34"/>
      <c r="R27" s="34"/>
      <c r="S27" s="34"/>
      <c r="T27" s="34"/>
      <c r="U27" s="34"/>
      <c r="V27" s="34"/>
    </row>
    <row r="28" spans="1:22" ht="15.5" x14ac:dyDescent="0.35">
      <c r="A28" s="3" t="s">
        <v>86</v>
      </c>
      <c r="B28" s="23">
        <f>GEOMEAN(B17,E17,H17,K17,N17,Q17,T17)</f>
        <v>0.82033535600763796</v>
      </c>
      <c r="C28" s="23">
        <f t="shared" si="21"/>
        <v>0.73059995564323643</v>
      </c>
      <c r="D28" s="23">
        <f t="shared" si="21"/>
        <v>0.67295009631617808</v>
      </c>
      <c r="E28" s="4"/>
      <c r="F28" s="4"/>
      <c r="G28" s="4"/>
      <c r="H28" s="3" t="s">
        <v>86</v>
      </c>
      <c r="I28" s="23">
        <f t="shared" si="22"/>
        <v>0.11259667002129305</v>
      </c>
      <c r="J28" s="23">
        <f t="shared" si="23"/>
        <v>0.10178919087131867</v>
      </c>
      <c r="K28" s="23">
        <f t="shared" si="24"/>
        <v>9.5186447300249277E-2</v>
      </c>
      <c r="L28" s="23">
        <f t="shared" si="25"/>
        <v>0.10319076939762033</v>
      </c>
      <c r="M28" s="23">
        <f t="shared" si="26"/>
        <v>0.10315967976817465</v>
      </c>
      <c r="N28" s="28">
        <f t="shared" si="27"/>
        <v>0.10315967976817465</v>
      </c>
      <c r="O28" s="4"/>
      <c r="P28" s="34"/>
      <c r="Q28" s="34"/>
      <c r="R28" s="34"/>
      <c r="S28" s="34"/>
      <c r="T28" s="34"/>
      <c r="U28" s="34"/>
      <c r="V28" s="34"/>
    </row>
    <row r="29" spans="1:22" ht="15.5" x14ac:dyDescent="0.35">
      <c r="A29" s="3" t="s">
        <v>87</v>
      </c>
      <c r="B29" s="23">
        <f t="shared" ref="B29:D30" si="28">GEOMEAN(B18,E18,H18,K18,N18,Q18,T18)</f>
        <v>1.2190136542044754</v>
      </c>
      <c r="C29" s="23">
        <f t="shared" si="28"/>
        <v>1.3687381066422017</v>
      </c>
      <c r="D29" s="23">
        <f t="shared" si="28"/>
        <v>1.4859942891369484</v>
      </c>
      <c r="E29" s="4"/>
      <c r="F29" s="4"/>
      <c r="G29" s="4"/>
      <c r="H29" s="3" t="s">
        <v>87</v>
      </c>
      <c r="I29" s="23">
        <f t="shared" si="22"/>
        <v>0.16731800862747889</v>
      </c>
      <c r="J29" s="23">
        <f t="shared" si="23"/>
        <v>0.19069634936835927</v>
      </c>
      <c r="K29" s="23">
        <f t="shared" si="24"/>
        <v>0.21018871661614036</v>
      </c>
      <c r="L29" s="23">
        <f t="shared" si="25"/>
        <v>0.18940102487065949</v>
      </c>
      <c r="M29" s="23">
        <f t="shared" si="26"/>
        <v>0.18934396155274613</v>
      </c>
      <c r="N29" s="28">
        <f t="shared" si="27"/>
        <v>0.18934396155274613</v>
      </c>
      <c r="O29" s="4"/>
      <c r="P29" s="34"/>
      <c r="Q29" s="34"/>
      <c r="R29" s="34"/>
      <c r="S29" s="34"/>
      <c r="T29" s="34"/>
      <c r="U29" s="34"/>
      <c r="V29" s="34"/>
    </row>
    <row r="30" spans="1:22" ht="15.5" x14ac:dyDescent="0.35">
      <c r="A30" s="7" t="s">
        <v>88</v>
      </c>
      <c r="B30" s="23">
        <f t="shared" si="28"/>
        <v>0.90572366426390671</v>
      </c>
      <c r="C30" s="23">
        <f t="shared" si="28"/>
        <v>0.85475139990715221</v>
      </c>
      <c r="D30" s="23">
        <f t="shared" si="28"/>
        <v>0.82033535600763796</v>
      </c>
      <c r="E30" s="4"/>
      <c r="F30" s="4"/>
      <c r="G30" s="4"/>
      <c r="H30" s="7" t="s">
        <v>88</v>
      </c>
      <c r="I30" s="23">
        <f t="shared" si="22"/>
        <v>0.12431680264510016</v>
      </c>
      <c r="J30" s="23">
        <f t="shared" si="23"/>
        <v>0.11908631080613097</v>
      </c>
      <c r="K30" s="23">
        <f t="shared" si="24"/>
        <v>0.11603357895421859</v>
      </c>
      <c r="L30" s="23">
        <f t="shared" si="25"/>
        <v>0.11981223080181658</v>
      </c>
      <c r="M30" s="23">
        <f t="shared" si="26"/>
        <v>0.11977613340783035</v>
      </c>
      <c r="N30" s="28">
        <f t="shared" si="27"/>
        <v>0.11977613340783035</v>
      </c>
      <c r="O30" s="4"/>
      <c r="P30" s="34"/>
      <c r="Q30" s="34"/>
      <c r="R30" s="34"/>
      <c r="S30" s="34"/>
      <c r="T30" s="34"/>
      <c r="U30" s="34"/>
      <c r="V30" s="34"/>
    </row>
    <row r="31" spans="1:22" ht="15.5" x14ac:dyDescent="0.35">
      <c r="A31" s="26" t="s">
        <v>70</v>
      </c>
      <c r="B31" s="25">
        <f>SUM(B24:B30)</f>
        <v>7.0698099929444025</v>
      </c>
      <c r="C31" s="25">
        <f t="shared" ref="C31:D31" si="29">SUM(C24:C30)</f>
        <v>7.1775789687419449</v>
      </c>
      <c r="D31" s="25">
        <f t="shared" si="29"/>
        <v>7.2856093866053513</v>
      </c>
      <c r="E31" s="4"/>
      <c r="F31" s="4"/>
      <c r="G31" s="4"/>
      <c r="H31" s="26" t="s">
        <v>70</v>
      </c>
      <c r="I31" s="23"/>
      <c r="J31" s="23"/>
      <c r="K31" s="23"/>
      <c r="L31" s="25">
        <f>SUM(L24:L30)</f>
        <v>1.0003013738460176</v>
      </c>
      <c r="M31" s="25">
        <f>SUM(M24:M30)</f>
        <v>1.0000000000000002</v>
      </c>
      <c r="N31" s="27">
        <f>SUM(N24:N30)</f>
        <v>1.0000000000000002</v>
      </c>
      <c r="O31" s="4"/>
      <c r="P31" s="34"/>
      <c r="Q31" s="34"/>
      <c r="R31" s="34"/>
      <c r="S31" s="34"/>
      <c r="T31" s="34"/>
      <c r="U31" s="34"/>
      <c r="V31" s="34"/>
    </row>
    <row r="32" spans="1:22" ht="15.5" x14ac:dyDescent="0.35">
      <c r="A32" s="26" t="s">
        <v>71</v>
      </c>
      <c r="B32" s="25">
        <f>1/B31</f>
        <v>0.14144651709140552</v>
      </c>
      <c r="C32" s="25">
        <f t="shared" ref="C32:D32" si="30">1/C31</f>
        <v>0.1393227443898504</v>
      </c>
      <c r="D32" s="25">
        <f t="shared" si="30"/>
        <v>0.13725687817391194</v>
      </c>
      <c r="E32" s="4"/>
      <c r="F32" s="4"/>
      <c r="G32" s="4"/>
      <c r="H32" s="4"/>
      <c r="I32" s="4"/>
      <c r="J32" s="4"/>
      <c r="K32" s="4"/>
      <c r="L32" s="4"/>
      <c r="M32" s="4"/>
      <c r="N32" s="4"/>
      <c r="O32" s="4"/>
      <c r="P32" s="4"/>
      <c r="Q32" s="4"/>
      <c r="R32" s="4"/>
      <c r="S32" s="4"/>
      <c r="T32" s="4"/>
      <c r="U32" s="4"/>
      <c r="V32" s="4"/>
    </row>
    <row r="33" spans="1:22" ht="15.5" x14ac:dyDescent="0.35">
      <c r="A33" s="26" t="s">
        <v>72</v>
      </c>
      <c r="B33" s="25">
        <f>MIN(B32:D32)</f>
        <v>0.13725687817391194</v>
      </c>
      <c r="C33" s="25">
        <f>MEDIAN(B32:D32)</f>
        <v>0.1393227443898504</v>
      </c>
      <c r="D33" s="25">
        <f>MAX(B32:D32)</f>
        <v>0.14144651709140552</v>
      </c>
      <c r="E33" s="4"/>
      <c r="F33" s="4"/>
      <c r="G33" s="4"/>
      <c r="H33" s="4"/>
      <c r="I33" s="4"/>
      <c r="J33" s="4"/>
      <c r="K33" s="4"/>
      <c r="L33" s="4"/>
      <c r="M33" s="4"/>
      <c r="N33" s="4"/>
      <c r="O33" s="4"/>
      <c r="P33" s="4"/>
      <c r="Q33" s="4"/>
      <c r="R33" s="4"/>
      <c r="S33" s="4"/>
      <c r="T33" s="4"/>
      <c r="U33" s="4"/>
      <c r="V33" s="4"/>
    </row>
  </sheetData>
  <mergeCells count="11">
    <mergeCell ref="T12:V12"/>
    <mergeCell ref="B23:D23"/>
    <mergeCell ref="I23:K23"/>
    <mergeCell ref="P23:V23"/>
    <mergeCell ref="P24:V31"/>
    <mergeCell ref="B12:D12"/>
    <mergeCell ref="E12:G12"/>
    <mergeCell ref="H12:J12"/>
    <mergeCell ref="K12:M12"/>
    <mergeCell ref="N12:P12"/>
    <mergeCell ref="Q12:S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DBC7-A117-4419-8BD5-2D1461E172BF}">
  <dimension ref="A1:V33"/>
  <sheetViews>
    <sheetView workbookViewId="0">
      <selection activeCell="P24" sqref="P24:V31"/>
    </sheetView>
  </sheetViews>
  <sheetFormatPr defaultRowHeight="14.5" x14ac:dyDescent="0.35"/>
  <cols>
    <col min="1" max="1" width="76.54296875" bestFit="1" customWidth="1"/>
    <col min="2" max="2" width="7.7265625" bestFit="1" customWidth="1"/>
    <col min="3" max="3" width="4.90625" bestFit="1" customWidth="1"/>
    <col min="4" max="4" width="11.81640625" bestFit="1" customWidth="1"/>
    <col min="5" max="5" width="10" bestFit="1" customWidth="1"/>
    <col min="6" max="7" width="11.81640625" bestFit="1" customWidth="1"/>
    <col min="8" max="8" width="16.6328125" bestFit="1" customWidth="1"/>
  </cols>
  <sheetData>
    <row r="1" spans="1:22" ht="15.5" x14ac:dyDescent="0.35">
      <c r="A1" s="12" t="s">
        <v>91</v>
      </c>
      <c r="B1" s="11"/>
      <c r="C1" s="11"/>
      <c r="D1" s="11"/>
      <c r="E1" s="11"/>
      <c r="F1" s="11"/>
      <c r="G1" s="11"/>
      <c r="H1" s="11"/>
    </row>
    <row r="2" spans="1:22" ht="15.5" x14ac:dyDescent="0.35">
      <c r="A2" s="3"/>
      <c r="B2" s="7" t="s">
        <v>18</v>
      </c>
      <c r="C2" s="3" t="s">
        <v>21</v>
      </c>
      <c r="D2" s="3" t="s">
        <v>24</v>
      </c>
      <c r="E2" s="7" t="s">
        <v>27</v>
      </c>
      <c r="F2" s="3" t="s">
        <v>30</v>
      </c>
      <c r="G2" s="3" t="s">
        <v>33</v>
      </c>
      <c r="H2" s="7" t="s">
        <v>36</v>
      </c>
    </row>
    <row r="3" spans="1:22" ht="15.5" x14ac:dyDescent="0.35">
      <c r="A3" s="7" t="s">
        <v>18</v>
      </c>
      <c r="B3" s="3">
        <v>1</v>
      </c>
      <c r="C3" s="3">
        <v>1</v>
      </c>
      <c r="D3" s="3">
        <f>1/2</f>
        <v>0.5</v>
      </c>
      <c r="E3" s="3">
        <f>1/2</f>
        <v>0.5</v>
      </c>
      <c r="F3" s="3">
        <v>1</v>
      </c>
      <c r="G3" s="3">
        <v>2</v>
      </c>
      <c r="H3" s="3">
        <v>1</v>
      </c>
    </row>
    <row r="4" spans="1:22" x14ac:dyDescent="0.35">
      <c r="A4" s="3" t="s">
        <v>21</v>
      </c>
      <c r="B4" s="3">
        <f>1/C3</f>
        <v>1</v>
      </c>
      <c r="C4" s="3">
        <v>1</v>
      </c>
      <c r="D4" s="3">
        <v>1</v>
      </c>
      <c r="E4" s="3">
        <f>1/4</f>
        <v>0.25</v>
      </c>
      <c r="F4" s="3">
        <v>1</v>
      </c>
      <c r="G4" s="3">
        <v>2</v>
      </c>
      <c r="H4" s="3">
        <v>2</v>
      </c>
    </row>
    <row r="5" spans="1:22" x14ac:dyDescent="0.35">
      <c r="A5" s="3" t="s">
        <v>24</v>
      </c>
      <c r="B5" s="3">
        <f>1/D3</f>
        <v>2</v>
      </c>
      <c r="C5" s="3">
        <f>1/D4</f>
        <v>1</v>
      </c>
      <c r="D5" s="3">
        <v>1</v>
      </c>
      <c r="E5" s="3">
        <v>1</v>
      </c>
      <c r="F5" s="3">
        <v>1</v>
      </c>
      <c r="G5" s="3">
        <f>1/3</f>
        <v>0.33333333333333331</v>
      </c>
      <c r="H5" s="3">
        <v>3</v>
      </c>
    </row>
    <row r="6" spans="1:22" ht="15.5" x14ac:dyDescent="0.35">
      <c r="A6" s="7" t="s">
        <v>27</v>
      </c>
      <c r="B6" s="3">
        <f>1/E3</f>
        <v>2</v>
      </c>
      <c r="C6" s="3">
        <f>1/E4</f>
        <v>4</v>
      </c>
      <c r="D6" s="3">
        <f>1/E5</f>
        <v>1</v>
      </c>
      <c r="E6" s="3">
        <v>1</v>
      </c>
      <c r="F6" s="3">
        <v>1</v>
      </c>
      <c r="G6" s="3">
        <v>2</v>
      </c>
      <c r="H6" s="3">
        <v>1</v>
      </c>
    </row>
    <row r="7" spans="1:22" x14ac:dyDescent="0.35">
      <c r="A7" s="3" t="s">
        <v>30</v>
      </c>
      <c r="B7" s="3">
        <f>1/F3</f>
        <v>1</v>
      </c>
      <c r="C7" s="3">
        <f>1/F4</f>
        <v>1</v>
      </c>
      <c r="D7" s="3">
        <f>1/F5</f>
        <v>1</v>
      </c>
      <c r="E7" s="3">
        <f>1/F6</f>
        <v>1</v>
      </c>
      <c r="F7" s="3">
        <v>1</v>
      </c>
      <c r="G7" s="3">
        <v>3</v>
      </c>
      <c r="H7" s="3">
        <v>3</v>
      </c>
    </row>
    <row r="8" spans="1:22" x14ac:dyDescent="0.35">
      <c r="A8" s="3" t="s">
        <v>33</v>
      </c>
      <c r="B8" s="3">
        <f>1/G3</f>
        <v>0.5</v>
      </c>
      <c r="C8" s="3">
        <f>1/G4</f>
        <v>0.5</v>
      </c>
      <c r="D8" s="3">
        <f>1/G5</f>
        <v>3</v>
      </c>
      <c r="E8" s="3">
        <f>1/G6</f>
        <v>0.5</v>
      </c>
      <c r="F8" s="3">
        <f>1/G7</f>
        <v>0.33333333333333331</v>
      </c>
      <c r="G8" s="3">
        <v>1</v>
      </c>
      <c r="H8" s="3">
        <v>2</v>
      </c>
    </row>
    <row r="9" spans="1:22" ht="15.5" x14ac:dyDescent="0.35">
      <c r="A9" s="7" t="s">
        <v>36</v>
      </c>
      <c r="B9" s="3">
        <f>1/H3</f>
        <v>1</v>
      </c>
      <c r="C9" s="3">
        <f>1/H4</f>
        <v>0.5</v>
      </c>
      <c r="D9" s="3">
        <f>1/H5</f>
        <v>0.33333333333333331</v>
      </c>
      <c r="E9" s="3">
        <f>1/H6</f>
        <v>1</v>
      </c>
      <c r="F9" s="3">
        <f>1/H7</f>
        <v>0.33333333333333331</v>
      </c>
      <c r="G9" s="3">
        <f>1/H8</f>
        <v>0.5</v>
      </c>
      <c r="H9" s="3">
        <v>1</v>
      </c>
    </row>
    <row r="12" spans="1:22" ht="15.5" x14ac:dyDescent="0.35">
      <c r="A12" s="7" t="s">
        <v>48</v>
      </c>
      <c r="B12" s="36" t="s">
        <v>18</v>
      </c>
      <c r="C12" s="37"/>
      <c r="D12" s="38"/>
      <c r="E12" s="36" t="s">
        <v>83</v>
      </c>
      <c r="F12" s="37"/>
      <c r="G12" s="38"/>
      <c r="H12" s="36" t="s">
        <v>84</v>
      </c>
      <c r="I12" s="37"/>
      <c r="J12" s="38"/>
      <c r="K12" s="36" t="s">
        <v>85</v>
      </c>
      <c r="L12" s="37"/>
      <c r="M12" s="38"/>
      <c r="N12" s="36" t="s">
        <v>86</v>
      </c>
      <c r="O12" s="37"/>
      <c r="P12" s="38"/>
      <c r="Q12" s="36" t="s">
        <v>87</v>
      </c>
      <c r="R12" s="37"/>
      <c r="S12" s="38"/>
      <c r="T12" s="39" t="s">
        <v>88</v>
      </c>
      <c r="U12" s="39"/>
      <c r="V12" s="39"/>
    </row>
    <row r="13" spans="1:22" ht="15.5" x14ac:dyDescent="0.35">
      <c r="A13" s="7" t="s">
        <v>18</v>
      </c>
      <c r="B13" s="13">
        <v>1</v>
      </c>
      <c r="C13" s="13">
        <v>1</v>
      </c>
      <c r="D13" s="13">
        <v>1</v>
      </c>
      <c r="E13" s="13">
        <v>1</v>
      </c>
      <c r="F13" s="13">
        <v>1</v>
      </c>
      <c r="G13" s="13">
        <v>1</v>
      </c>
      <c r="H13" s="13">
        <f>1/2</f>
        <v>0.5</v>
      </c>
      <c r="I13" s="13">
        <f>1/3</f>
        <v>0.33333333333333331</v>
      </c>
      <c r="J13" s="13">
        <f>1/4</f>
        <v>0.25</v>
      </c>
      <c r="K13" s="13">
        <f>1/2</f>
        <v>0.5</v>
      </c>
      <c r="L13" s="13">
        <f>1/3</f>
        <v>0.33333333333333331</v>
      </c>
      <c r="M13" s="13">
        <f>1/4</f>
        <v>0.25</v>
      </c>
      <c r="N13" s="13">
        <v>1</v>
      </c>
      <c r="O13" s="13">
        <v>1</v>
      </c>
      <c r="P13" s="13">
        <v>1</v>
      </c>
      <c r="Q13" s="13">
        <v>2</v>
      </c>
      <c r="R13" s="13">
        <v>3</v>
      </c>
      <c r="S13" s="13">
        <v>4</v>
      </c>
      <c r="T13" s="13">
        <v>1</v>
      </c>
      <c r="U13" s="13">
        <v>1</v>
      </c>
      <c r="V13" s="13">
        <v>1</v>
      </c>
    </row>
    <row r="14" spans="1:22" ht="15.5" x14ac:dyDescent="0.35">
      <c r="A14" s="3" t="s">
        <v>83</v>
      </c>
      <c r="B14" s="13">
        <f>1/E13</f>
        <v>1</v>
      </c>
      <c r="C14" s="13">
        <f t="shared" ref="C14:D14" si="0">1/F13</f>
        <v>1</v>
      </c>
      <c r="D14" s="13">
        <f t="shared" si="0"/>
        <v>1</v>
      </c>
      <c r="E14" s="13">
        <v>1</v>
      </c>
      <c r="F14" s="13">
        <v>1</v>
      </c>
      <c r="G14" s="13">
        <v>1</v>
      </c>
      <c r="H14" s="13">
        <v>1</v>
      </c>
      <c r="I14" s="13">
        <v>1</v>
      </c>
      <c r="J14" s="13">
        <v>1</v>
      </c>
      <c r="K14" s="13">
        <f>1/2</f>
        <v>0.5</v>
      </c>
      <c r="L14" s="13">
        <f>1/3</f>
        <v>0.33333333333333331</v>
      </c>
      <c r="M14" s="13">
        <f>1/4</f>
        <v>0.25</v>
      </c>
      <c r="N14" s="13">
        <v>1</v>
      </c>
      <c r="O14" s="13">
        <v>1</v>
      </c>
      <c r="P14" s="13">
        <v>1</v>
      </c>
      <c r="Q14" s="13">
        <v>2</v>
      </c>
      <c r="R14" s="13">
        <v>3</v>
      </c>
      <c r="S14" s="13">
        <v>4</v>
      </c>
      <c r="T14" s="13">
        <v>2</v>
      </c>
      <c r="U14" s="13">
        <v>3</v>
      </c>
      <c r="V14" s="13">
        <v>4</v>
      </c>
    </row>
    <row r="15" spans="1:22" ht="15.5" x14ac:dyDescent="0.35">
      <c r="A15" s="3" t="s">
        <v>84</v>
      </c>
      <c r="B15" s="13">
        <f>1/H13</f>
        <v>2</v>
      </c>
      <c r="C15" s="13">
        <f t="shared" ref="C15:D15" si="1">1/I13</f>
        <v>3</v>
      </c>
      <c r="D15" s="13">
        <f t="shared" si="1"/>
        <v>4</v>
      </c>
      <c r="E15" s="13">
        <f>1/H14</f>
        <v>1</v>
      </c>
      <c r="F15" s="13">
        <f t="shared" ref="F15:G15" si="2">1/I14</f>
        <v>1</v>
      </c>
      <c r="G15" s="13">
        <f t="shared" si="2"/>
        <v>1</v>
      </c>
      <c r="H15" s="13">
        <v>1</v>
      </c>
      <c r="I15" s="13">
        <v>1</v>
      </c>
      <c r="J15" s="13">
        <v>1</v>
      </c>
      <c r="K15" s="13">
        <v>1</v>
      </c>
      <c r="L15" s="13">
        <v>1</v>
      </c>
      <c r="M15" s="13">
        <v>1</v>
      </c>
      <c r="N15" s="13">
        <v>1</v>
      </c>
      <c r="O15" s="13">
        <v>1</v>
      </c>
      <c r="P15" s="13">
        <v>1</v>
      </c>
      <c r="Q15" s="13">
        <f>1/2</f>
        <v>0.5</v>
      </c>
      <c r="R15" s="13">
        <f>1/3</f>
        <v>0.33333333333333331</v>
      </c>
      <c r="S15" s="13">
        <f>1/4</f>
        <v>0.25</v>
      </c>
      <c r="T15" s="13">
        <v>2</v>
      </c>
      <c r="U15" s="13">
        <v>3</v>
      </c>
      <c r="V15" s="13">
        <v>4</v>
      </c>
    </row>
    <row r="16" spans="1:22" ht="15.5" x14ac:dyDescent="0.35">
      <c r="A16" s="7" t="s">
        <v>85</v>
      </c>
      <c r="B16" s="13">
        <f>1/K13</f>
        <v>2</v>
      </c>
      <c r="C16" s="13">
        <f t="shared" ref="C16:D16" si="3">1/L13</f>
        <v>3</v>
      </c>
      <c r="D16" s="13">
        <f t="shared" si="3"/>
        <v>4</v>
      </c>
      <c r="E16" s="13">
        <f>1/K14</f>
        <v>2</v>
      </c>
      <c r="F16" s="13">
        <f t="shared" ref="F16:G16" si="4">1/L14</f>
        <v>3</v>
      </c>
      <c r="G16" s="13">
        <f t="shared" si="4"/>
        <v>4</v>
      </c>
      <c r="H16" s="13">
        <f>1/K15</f>
        <v>1</v>
      </c>
      <c r="I16" s="13">
        <f t="shared" ref="I16:J16" si="5">1/L15</f>
        <v>1</v>
      </c>
      <c r="J16" s="13">
        <f t="shared" si="5"/>
        <v>1</v>
      </c>
      <c r="K16" s="13">
        <v>1</v>
      </c>
      <c r="L16" s="13">
        <v>1</v>
      </c>
      <c r="M16" s="13">
        <v>1</v>
      </c>
      <c r="N16" s="13">
        <v>1</v>
      </c>
      <c r="O16" s="13">
        <v>1</v>
      </c>
      <c r="P16" s="13">
        <v>1</v>
      </c>
      <c r="Q16" s="13">
        <v>2</v>
      </c>
      <c r="R16" s="13">
        <v>3</v>
      </c>
      <c r="S16" s="13">
        <v>4</v>
      </c>
      <c r="T16" s="13">
        <v>1</v>
      </c>
      <c r="U16" s="13">
        <v>1</v>
      </c>
      <c r="V16" s="13">
        <v>1</v>
      </c>
    </row>
    <row r="17" spans="1:22" ht="15.5" x14ac:dyDescent="0.35">
      <c r="A17" s="3" t="s">
        <v>86</v>
      </c>
      <c r="B17" s="13">
        <f>1/N13</f>
        <v>1</v>
      </c>
      <c r="C17" s="13">
        <f t="shared" ref="C17:D17" si="6">1/O13</f>
        <v>1</v>
      </c>
      <c r="D17" s="13">
        <f t="shared" si="6"/>
        <v>1</v>
      </c>
      <c r="E17" s="13">
        <f>1/N14</f>
        <v>1</v>
      </c>
      <c r="F17" s="13">
        <f t="shared" ref="F17:G17" si="7">1/O14</f>
        <v>1</v>
      </c>
      <c r="G17" s="13">
        <f t="shared" si="7"/>
        <v>1</v>
      </c>
      <c r="H17" s="13">
        <f>1/N15</f>
        <v>1</v>
      </c>
      <c r="I17" s="13">
        <f t="shared" ref="I17:J17" si="8">1/O15</f>
        <v>1</v>
      </c>
      <c r="J17" s="13">
        <f t="shared" si="8"/>
        <v>1</v>
      </c>
      <c r="K17" s="13">
        <f>1/N16</f>
        <v>1</v>
      </c>
      <c r="L17" s="13">
        <f t="shared" ref="L17:M17" si="9">1/O16</f>
        <v>1</v>
      </c>
      <c r="M17" s="13">
        <f t="shared" si="9"/>
        <v>1</v>
      </c>
      <c r="N17" s="13">
        <v>1</v>
      </c>
      <c r="O17" s="13">
        <v>1</v>
      </c>
      <c r="P17" s="13">
        <v>1</v>
      </c>
      <c r="Q17" s="13">
        <v>2</v>
      </c>
      <c r="R17" s="13">
        <v>3</v>
      </c>
      <c r="S17" s="13">
        <v>4</v>
      </c>
      <c r="T17" s="13">
        <v>2</v>
      </c>
      <c r="U17" s="13">
        <v>3</v>
      </c>
      <c r="V17" s="13">
        <v>4</v>
      </c>
    </row>
    <row r="18" spans="1:22" ht="15.5" x14ac:dyDescent="0.35">
      <c r="A18" s="3" t="s">
        <v>87</v>
      </c>
      <c r="B18" s="13">
        <f>1/Q13</f>
        <v>0.5</v>
      </c>
      <c r="C18" s="13">
        <f t="shared" ref="C18:D18" si="10">1/R13</f>
        <v>0.33333333333333331</v>
      </c>
      <c r="D18" s="13">
        <f t="shared" si="10"/>
        <v>0.25</v>
      </c>
      <c r="E18" s="13">
        <f>1/Q14</f>
        <v>0.5</v>
      </c>
      <c r="F18" s="13">
        <f t="shared" ref="F18:G18" si="11">1/R14</f>
        <v>0.33333333333333331</v>
      </c>
      <c r="G18" s="13">
        <f t="shared" si="11"/>
        <v>0.25</v>
      </c>
      <c r="H18" s="13">
        <f>1/Q15</f>
        <v>2</v>
      </c>
      <c r="I18" s="13">
        <f t="shared" ref="I18:J18" si="12">1/R15</f>
        <v>3</v>
      </c>
      <c r="J18" s="13">
        <f t="shared" si="12"/>
        <v>4</v>
      </c>
      <c r="K18" s="13">
        <f>1/Q16</f>
        <v>0.5</v>
      </c>
      <c r="L18" s="13">
        <f t="shared" ref="L18:M18" si="13">1/R16</f>
        <v>0.33333333333333331</v>
      </c>
      <c r="M18" s="13">
        <f t="shared" si="13"/>
        <v>0.25</v>
      </c>
      <c r="N18" s="13">
        <f>1/Q17</f>
        <v>0.5</v>
      </c>
      <c r="O18" s="13">
        <f t="shared" ref="O18:P18" si="14">1/R17</f>
        <v>0.33333333333333331</v>
      </c>
      <c r="P18" s="13">
        <f t="shared" si="14"/>
        <v>0.25</v>
      </c>
      <c r="Q18" s="13">
        <v>1</v>
      </c>
      <c r="R18" s="13">
        <v>1</v>
      </c>
      <c r="S18" s="13">
        <v>1</v>
      </c>
      <c r="T18" s="13">
        <v>2</v>
      </c>
      <c r="U18" s="13">
        <v>3</v>
      </c>
      <c r="V18" s="13">
        <v>4</v>
      </c>
    </row>
    <row r="19" spans="1:22" ht="15.5" x14ac:dyDescent="0.35">
      <c r="A19" s="7" t="s">
        <v>88</v>
      </c>
      <c r="B19" s="13">
        <f>1/T13</f>
        <v>1</v>
      </c>
      <c r="C19" s="13">
        <f t="shared" ref="C19:D19" si="15">1/U13</f>
        <v>1</v>
      </c>
      <c r="D19" s="13">
        <f t="shared" si="15"/>
        <v>1</v>
      </c>
      <c r="E19" s="13">
        <f>1/T14</f>
        <v>0.5</v>
      </c>
      <c r="F19" s="13">
        <f t="shared" ref="F19:G19" si="16">1/U14</f>
        <v>0.33333333333333331</v>
      </c>
      <c r="G19" s="13">
        <f t="shared" si="16"/>
        <v>0.25</v>
      </c>
      <c r="H19" s="13">
        <f>1/T15</f>
        <v>0.5</v>
      </c>
      <c r="I19" s="13">
        <f t="shared" ref="I19:J19" si="17">1/U15</f>
        <v>0.33333333333333331</v>
      </c>
      <c r="J19" s="13">
        <f t="shared" si="17"/>
        <v>0.25</v>
      </c>
      <c r="K19" s="13">
        <f>1/T16</f>
        <v>1</v>
      </c>
      <c r="L19" s="13">
        <f t="shared" ref="L19:M19" si="18">1/U16</f>
        <v>1</v>
      </c>
      <c r="M19" s="13">
        <f t="shared" si="18"/>
        <v>1</v>
      </c>
      <c r="N19" s="13">
        <f>1/T17</f>
        <v>0.5</v>
      </c>
      <c r="O19" s="13">
        <f t="shared" ref="O19:P19" si="19">1/U17</f>
        <v>0.33333333333333331</v>
      </c>
      <c r="P19" s="13">
        <f t="shared" si="19"/>
        <v>0.25</v>
      </c>
      <c r="Q19" s="13">
        <f>1/T18</f>
        <v>0.5</v>
      </c>
      <c r="R19" s="13">
        <f t="shared" ref="R19:S19" si="20">1/U18</f>
        <v>0.33333333333333331</v>
      </c>
      <c r="S19" s="13">
        <f t="shared" si="20"/>
        <v>0.25</v>
      </c>
      <c r="T19" s="13">
        <v>1</v>
      </c>
      <c r="U19" s="13">
        <v>1</v>
      </c>
      <c r="V19" s="13">
        <v>1</v>
      </c>
    </row>
    <row r="20" spans="1:22" ht="15.5" x14ac:dyDescent="0.35">
      <c r="A20" s="2"/>
      <c r="B20" s="2"/>
      <c r="C20" s="2"/>
      <c r="D20" s="2"/>
      <c r="E20" s="2"/>
      <c r="F20" s="2"/>
      <c r="G20" s="2"/>
      <c r="H20" s="2"/>
      <c r="I20" s="2"/>
      <c r="J20" s="2"/>
      <c r="K20" s="2"/>
      <c r="L20" s="2"/>
      <c r="M20" s="2"/>
      <c r="N20" s="2"/>
      <c r="O20" s="2"/>
      <c r="P20" s="2"/>
      <c r="Q20" s="2"/>
      <c r="R20" s="2"/>
      <c r="S20" s="2"/>
      <c r="T20" s="2"/>
      <c r="U20" s="2"/>
      <c r="V20" s="2"/>
    </row>
    <row r="21" spans="1:22" ht="15.5" x14ac:dyDescent="0.35">
      <c r="A21" s="2" t="s">
        <v>69</v>
      </c>
      <c r="B21" s="2"/>
      <c r="C21" s="2"/>
      <c r="D21" s="2"/>
      <c r="E21" s="2"/>
      <c r="F21" s="2"/>
      <c r="G21" s="2"/>
      <c r="H21" s="2"/>
      <c r="I21" s="2"/>
      <c r="J21" s="2"/>
      <c r="K21" s="2"/>
      <c r="L21" s="2"/>
      <c r="M21" s="2"/>
      <c r="N21" s="2"/>
      <c r="O21" s="2"/>
      <c r="P21" s="2"/>
      <c r="Q21" s="2"/>
      <c r="R21" s="2"/>
      <c r="S21" s="2"/>
      <c r="T21" s="2"/>
      <c r="U21" s="2"/>
      <c r="V21" s="2"/>
    </row>
    <row r="22" spans="1:22" ht="15.5" x14ac:dyDescent="0.35">
      <c r="A22" s="2"/>
      <c r="B22" s="2"/>
      <c r="C22" s="2"/>
      <c r="D22" s="2"/>
      <c r="E22" s="2"/>
      <c r="F22" s="2"/>
      <c r="G22" s="2"/>
      <c r="H22" s="2"/>
      <c r="I22" s="2"/>
      <c r="J22" s="2"/>
      <c r="K22" s="2"/>
      <c r="L22" s="2"/>
      <c r="M22" s="2"/>
      <c r="N22" s="2"/>
      <c r="O22" s="2"/>
      <c r="P22" s="2"/>
      <c r="Q22" s="2"/>
      <c r="R22" s="2"/>
      <c r="S22" s="2"/>
      <c r="T22" s="2"/>
      <c r="U22" s="2"/>
      <c r="V22" s="2"/>
    </row>
    <row r="23" spans="1:22" ht="15.5" x14ac:dyDescent="0.35">
      <c r="A23" s="7" t="s">
        <v>48</v>
      </c>
      <c r="B23" s="35" t="s">
        <v>69</v>
      </c>
      <c r="C23" s="35"/>
      <c r="D23" s="35"/>
      <c r="E23" s="2"/>
      <c r="F23" s="2"/>
      <c r="G23" s="2"/>
      <c r="H23" s="7" t="s">
        <v>48</v>
      </c>
      <c r="I23" s="35" t="s">
        <v>73</v>
      </c>
      <c r="J23" s="35"/>
      <c r="K23" s="35"/>
      <c r="L23" s="24" t="s">
        <v>74</v>
      </c>
      <c r="M23" s="23" t="s">
        <v>75</v>
      </c>
      <c r="N23" s="23" t="s">
        <v>76</v>
      </c>
      <c r="O23" s="2"/>
      <c r="P23" s="35" t="s">
        <v>77</v>
      </c>
      <c r="Q23" s="35"/>
      <c r="R23" s="35"/>
      <c r="S23" s="35"/>
      <c r="T23" s="35"/>
      <c r="U23" s="35"/>
      <c r="V23" s="35"/>
    </row>
    <row r="24" spans="1:22" ht="15.5" x14ac:dyDescent="0.35">
      <c r="A24" s="7" t="s">
        <v>18</v>
      </c>
      <c r="B24" s="23">
        <f>GEOMEAN(B13,E13,H13,K13,N13,Q13,T13)</f>
        <v>0.90572366426390671</v>
      </c>
      <c r="C24" s="23">
        <f>GEOMEAN(C13,F13,I13,L13,O13,R13,U13)</f>
        <v>0.85475139990715221</v>
      </c>
      <c r="D24" s="23">
        <f>GEOMEAN(D13,G13,J13,M13,P13,S13,V13)</f>
        <v>0.82033535600763796</v>
      </c>
      <c r="E24" s="2"/>
      <c r="F24" s="2"/>
      <c r="G24" s="2"/>
      <c r="H24" s="7" t="s">
        <v>18</v>
      </c>
      <c r="I24" s="23">
        <f>B24*$B$33</f>
        <v>0.11790795575316521</v>
      </c>
      <c r="J24" s="23">
        <f>C24*$C$33</f>
        <v>0.11505517915333786</v>
      </c>
      <c r="K24" s="23">
        <f>D24*$D$33</f>
        <v>0.11437865176249637</v>
      </c>
      <c r="L24" s="23">
        <f>AVERAGE(I24:K24)</f>
        <v>0.11578059555633313</v>
      </c>
      <c r="M24" s="23">
        <f>L24/$L$31</f>
        <v>0.11559902456244796</v>
      </c>
      <c r="N24" s="28">
        <f>M24</f>
        <v>0.11559902456244796</v>
      </c>
      <c r="O24" s="2"/>
      <c r="P24" s="34" t="s">
        <v>105</v>
      </c>
      <c r="Q24" s="34"/>
      <c r="R24" s="34"/>
      <c r="S24" s="34"/>
      <c r="T24" s="34"/>
      <c r="U24" s="34"/>
      <c r="V24" s="34"/>
    </row>
    <row r="25" spans="1:22" ht="15.5" x14ac:dyDescent="0.35">
      <c r="A25" s="3" t="s">
        <v>83</v>
      </c>
      <c r="B25" s="23">
        <f t="shared" ref="B25:D28" si="21">GEOMEAN(B14,E14,H14,K14,N14,Q14,T14)</f>
        <v>1.1040895136738123</v>
      </c>
      <c r="C25" s="23">
        <f t="shared" si="21"/>
        <v>1.1699308127586869</v>
      </c>
      <c r="D25" s="23">
        <f t="shared" si="21"/>
        <v>1.2190136542044754</v>
      </c>
      <c r="E25" s="2"/>
      <c r="F25" s="2"/>
      <c r="G25" s="2"/>
      <c r="H25" s="3" t="s">
        <v>83</v>
      </c>
      <c r="I25" s="23">
        <f t="shared" ref="I25:I30" si="22">B25*$B$33</f>
        <v>0.14373140800244549</v>
      </c>
      <c r="J25" s="23">
        <f t="shared" ref="J25:J30" si="23">C25*$C$33</f>
        <v>0.15748040807371899</v>
      </c>
      <c r="K25" s="23">
        <f t="shared" ref="K25:K30" si="24">D25*$D$33</f>
        <v>0.16996602331825336</v>
      </c>
      <c r="L25" s="23">
        <f t="shared" ref="L25:L30" si="25">AVERAGE(I25:K25)</f>
        <v>0.15705927979813927</v>
      </c>
      <c r="M25" s="23">
        <f t="shared" ref="M25:M30" si="26">L25/$L$31</f>
        <v>0.15681297419403686</v>
      </c>
      <c r="N25" s="28">
        <f t="shared" ref="N25:N30" si="27">M25</f>
        <v>0.15681297419403686</v>
      </c>
      <c r="O25" s="2"/>
      <c r="P25" s="34"/>
      <c r="Q25" s="34"/>
      <c r="R25" s="34"/>
      <c r="S25" s="34"/>
      <c r="T25" s="34"/>
      <c r="U25" s="34"/>
      <c r="V25" s="34"/>
    </row>
    <row r="26" spans="1:22" ht="15.5" x14ac:dyDescent="0.35">
      <c r="A26" s="3" t="s">
        <v>84</v>
      </c>
      <c r="B26" s="23">
        <f>GEOMEAN(B15,E15,H15,K15,N15,Q15,T15)</f>
        <v>1.1040895136738123</v>
      </c>
      <c r="C26" s="23">
        <f>GEOMEAN(C15,F15,I15,L15,O15,R15,U15)</f>
        <v>1.1699308127586869</v>
      </c>
      <c r="D26" s="23">
        <f>GEOMEAN(D15,G15,J15,M15,P15,S15,V15)</f>
        <v>1.2190136542044754</v>
      </c>
      <c r="E26" s="4"/>
      <c r="F26" s="4"/>
      <c r="G26" s="4"/>
      <c r="H26" s="3" t="s">
        <v>84</v>
      </c>
      <c r="I26" s="23">
        <f t="shared" si="22"/>
        <v>0.14373140800244549</v>
      </c>
      <c r="J26" s="23">
        <f t="shared" si="23"/>
        <v>0.15748040807371899</v>
      </c>
      <c r="K26" s="23">
        <f t="shared" si="24"/>
        <v>0.16996602331825336</v>
      </c>
      <c r="L26" s="23">
        <f t="shared" si="25"/>
        <v>0.15705927979813927</v>
      </c>
      <c r="M26" s="23">
        <f t="shared" si="26"/>
        <v>0.15681297419403686</v>
      </c>
      <c r="N26" s="28">
        <f t="shared" si="27"/>
        <v>0.15681297419403686</v>
      </c>
      <c r="O26" s="4"/>
      <c r="P26" s="34"/>
      <c r="Q26" s="34"/>
      <c r="R26" s="34"/>
      <c r="S26" s="34"/>
      <c r="T26" s="34"/>
      <c r="U26" s="34"/>
      <c r="V26" s="34"/>
    </row>
    <row r="27" spans="1:22" ht="15.5" x14ac:dyDescent="0.35">
      <c r="A27" s="7" t="s">
        <v>85</v>
      </c>
      <c r="B27" s="23">
        <f t="shared" si="21"/>
        <v>1.3459001926323562</v>
      </c>
      <c r="C27" s="23">
        <f t="shared" si="21"/>
        <v>1.6013288855576973</v>
      </c>
      <c r="D27" s="23">
        <f t="shared" si="21"/>
        <v>1.8114473285278132</v>
      </c>
      <c r="E27" s="4"/>
      <c r="F27" s="4"/>
      <c r="G27" s="4"/>
      <c r="H27" s="7" t="s">
        <v>85</v>
      </c>
      <c r="I27" s="23">
        <f t="shared" si="22"/>
        <v>0.17521054889301549</v>
      </c>
      <c r="J27" s="23">
        <f t="shared" si="23"/>
        <v>0.21554943558006343</v>
      </c>
      <c r="K27" s="23">
        <f t="shared" si="24"/>
        <v>0.25256853999824191</v>
      </c>
      <c r="L27" s="23">
        <f t="shared" si="25"/>
        <v>0.21444284149044027</v>
      </c>
      <c r="M27" s="23">
        <f t="shared" si="26"/>
        <v>0.21410654506983637</v>
      </c>
      <c r="N27" s="28">
        <f t="shared" si="27"/>
        <v>0.21410654506983637</v>
      </c>
      <c r="O27" s="4"/>
      <c r="P27" s="34"/>
      <c r="Q27" s="34"/>
      <c r="R27" s="34"/>
      <c r="S27" s="34"/>
      <c r="T27" s="34"/>
      <c r="U27" s="34"/>
      <c r="V27" s="34"/>
    </row>
    <row r="28" spans="1:22" ht="15.5" x14ac:dyDescent="0.35">
      <c r="A28" s="3" t="s">
        <v>86</v>
      </c>
      <c r="B28" s="23">
        <f>GEOMEAN(B17,E17,H17,K17,N17,Q17,T17)</f>
        <v>1.2190136542044754</v>
      </c>
      <c r="C28" s="23">
        <f t="shared" si="21"/>
        <v>1.3687381066422017</v>
      </c>
      <c r="D28" s="23">
        <f t="shared" si="21"/>
        <v>1.4859942891369484</v>
      </c>
      <c r="E28" s="4"/>
      <c r="F28" s="4"/>
      <c r="G28" s="4"/>
      <c r="H28" s="3" t="s">
        <v>86</v>
      </c>
      <c r="I28" s="23">
        <f t="shared" si="22"/>
        <v>0.15869234036107235</v>
      </c>
      <c r="J28" s="23">
        <f t="shared" si="23"/>
        <v>0.18424118181125573</v>
      </c>
      <c r="K28" s="23">
        <f t="shared" si="24"/>
        <v>0.20719090317578712</v>
      </c>
      <c r="L28" s="23">
        <f t="shared" si="25"/>
        <v>0.18337480844937173</v>
      </c>
      <c r="M28" s="23">
        <f t="shared" si="26"/>
        <v>0.18308723395501308</v>
      </c>
      <c r="N28" s="28">
        <f t="shared" si="27"/>
        <v>0.18308723395501308</v>
      </c>
      <c r="O28" s="4"/>
      <c r="P28" s="34"/>
      <c r="Q28" s="34"/>
      <c r="R28" s="34"/>
      <c r="S28" s="34"/>
      <c r="T28" s="34"/>
      <c r="U28" s="34"/>
      <c r="V28" s="34"/>
    </row>
    <row r="29" spans="1:22" ht="15.5" x14ac:dyDescent="0.35">
      <c r="A29" s="3" t="s">
        <v>87</v>
      </c>
      <c r="B29" s="23">
        <f t="shared" ref="B29:D30" si="28">GEOMEAN(B18,E18,H18,K18,N18,Q18,T18)</f>
        <v>0.82033535600763796</v>
      </c>
      <c r="C29" s="23">
        <f t="shared" si="28"/>
        <v>0.73059995564323643</v>
      </c>
      <c r="D29" s="23">
        <f t="shared" si="28"/>
        <v>0.67295009631617808</v>
      </c>
      <c r="E29" s="4"/>
      <c r="F29" s="4"/>
      <c r="G29" s="4"/>
      <c r="H29" s="3" t="s">
        <v>87</v>
      </c>
      <c r="I29" s="23">
        <f t="shared" si="22"/>
        <v>0.10679202573062337</v>
      </c>
      <c r="J29" s="23">
        <f t="shared" si="23"/>
        <v>9.8343575447883733E-2</v>
      </c>
      <c r="K29" s="23">
        <f t="shared" si="24"/>
        <v>9.3828852013261105E-2</v>
      </c>
      <c r="L29" s="23">
        <f t="shared" si="25"/>
        <v>9.9654817730589415E-2</v>
      </c>
      <c r="M29" s="23">
        <f t="shared" si="26"/>
        <v>9.9498535719654474E-2</v>
      </c>
      <c r="N29" s="28">
        <f t="shared" si="27"/>
        <v>9.9498535719654474E-2</v>
      </c>
      <c r="O29" s="4"/>
      <c r="P29" s="34"/>
      <c r="Q29" s="34"/>
      <c r="R29" s="34"/>
      <c r="S29" s="34"/>
      <c r="T29" s="34"/>
      <c r="U29" s="34"/>
      <c r="V29" s="34"/>
    </row>
    <row r="30" spans="1:22" ht="15.5" x14ac:dyDescent="0.35">
      <c r="A30" s="7" t="s">
        <v>88</v>
      </c>
      <c r="B30" s="23">
        <f t="shared" si="28"/>
        <v>0.67295009631617808</v>
      </c>
      <c r="C30" s="23">
        <f t="shared" si="28"/>
        <v>0.53377629518589909</v>
      </c>
      <c r="D30" s="23">
        <f t="shared" si="28"/>
        <v>0.45286183213195336</v>
      </c>
      <c r="E30" s="4"/>
      <c r="F30" s="4"/>
      <c r="G30" s="4"/>
      <c r="H30" s="7" t="s">
        <v>88</v>
      </c>
      <c r="I30" s="23">
        <f t="shared" si="22"/>
        <v>8.7605274446507744E-2</v>
      </c>
      <c r="J30" s="23">
        <f t="shared" si="23"/>
        <v>7.1849811860021137E-2</v>
      </c>
      <c r="K30" s="23">
        <f t="shared" si="24"/>
        <v>6.3142134999560479E-2</v>
      </c>
      <c r="L30" s="23">
        <f t="shared" si="25"/>
        <v>7.4199073768696458E-2</v>
      </c>
      <c r="M30" s="23">
        <f t="shared" si="26"/>
        <v>7.4082712304974443E-2</v>
      </c>
      <c r="N30" s="28">
        <f t="shared" si="27"/>
        <v>7.4082712304974443E-2</v>
      </c>
      <c r="O30" s="4"/>
      <c r="P30" s="34"/>
      <c r="Q30" s="34"/>
      <c r="R30" s="34"/>
      <c r="S30" s="34"/>
      <c r="T30" s="34"/>
      <c r="U30" s="34"/>
      <c r="V30" s="34"/>
    </row>
    <row r="31" spans="1:22" ht="15.5" x14ac:dyDescent="0.35">
      <c r="A31" s="26" t="s">
        <v>70</v>
      </c>
      <c r="B31" s="25">
        <f>SUM(B24:B30)</f>
        <v>7.1721019907721786</v>
      </c>
      <c r="C31" s="25">
        <f t="shared" ref="C31:D31" si="29">SUM(C24:C30)</f>
        <v>7.4290562684535608</v>
      </c>
      <c r="D31" s="25">
        <f t="shared" si="29"/>
        <v>7.6816162105294818</v>
      </c>
      <c r="E31" s="4"/>
      <c r="F31" s="4"/>
      <c r="G31" s="4"/>
      <c r="H31" s="26" t="s">
        <v>70</v>
      </c>
      <c r="I31" s="23"/>
      <c r="J31" s="23"/>
      <c r="K31" s="23"/>
      <c r="L31" s="25">
        <f>SUM(L24:L30)</f>
        <v>1.0015706965917095</v>
      </c>
      <c r="M31" s="25">
        <f>SUM(M24:M30)</f>
        <v>1.0000000000000002</v>
      </c>
      <c r="N31" s="27">
        <f>SUM(N24:N30)</f>
        <v>1.0000000000000002</v>
      </c>
      <c r="O31" s="4"/>
      <c r="P31" s="34"/>
      <c r="Q31" s="34"/>
      <c r="R31" s="34"/>
      <c r="S31" s="34"/>
      <c r="T31" s="34"/>
      <c r="U31" s="34"/>
      <c r="V31" s="34"/>
    </row>
    <row r="32" spans="1:22" ht="15.5" x14ac:dyDescent="0.35">
      <c r="A32" s="26" t="s">
        <v>71</v>
      </c>
      <c r="B32" s="25">
        <f>1/B31</f>
        <v>0.13942913824798187</v>
      </c>
      <c r="C32" s="25">
        <f t="shared" ref="C32:D32" si="30">1/C31</f>
        <v>0.1346065992589609</v>
      </c>
      <c r="D32" s="25">
        <f t="shared" si="30"/>
        <v>0.13018093752578555</v>
      </c>
      <c r="E32" s="4"/>
      <c r="F32" s="4"/>
      <c r="G32" s="4"/>
      <c r="H32" s="4"/>
      <c r="I32" s="4"/>
      <c r="J32" s="4"/>
      <c r="K32" s="4"/>
      <c r="L32" s="4"/>
      <c r="M32" s="4"/>
      <c r="N32" s="4"/>
      <c r="O32" s="4"/>
      <c r="P32" s="4"/>
      <c r="Q32" s="4"/>
      <c r="R32" s="4"/>
      <c r="S32" s="4"/>
      <c r="T32" s="4"/>
      <c r="U32" s="4"/>
      <c r="V32" s="4"/>
    </row>
    <row r="33" spans="1:22" ht="15.5" x14ac:dyDescent="0.35">
      <c r="A33" s="26" t="s">
        <v>72</v>
      </c>
      <c r="B33" s="25">
        <f>MIN(B32:D32)</f>
        <v>0.13018093752578555</v>
      </c>
      <c r="C33" s="25">
        <f>MEDIAN(B32:D32)</f>
        <v>0.1346065992589609</v>
      </c>
      <c r="D33" s="25">
        <f>MAX(B32:D32)</f>
        <v>0.13942913824798187</v>
      </c>
      <c r="E33" s="4"/>
      <c r="F33" s="4"/>
      <c r="G33" s="4"/>
      <c r="H33" s="4"/>
      <c r="I33" s="4"/>
      <c r="J33" s="4"/>
      <c r="K33" s="4"/>
      <c r="L33" s="4"/>
      <c r="M33" s="4"/>
      <c r="N33" s="4"/>
      <c r="O33" s="4"/>
      <c r="P33" s="4"/>
      <c r="Q33" s="4"/>
      <c r="R33" s="4"/>
      <c r="S33" s="4"/>
      <c r="T33" s="4"/>
      <c r="U33" s="4"/>
      <c r="V33" s="4"/>
    </row>
  </sheetData>
  <mergeCells count="11">
    <mergeCell ref="T12:V12"/>
    <mergeCell ref="B23:D23"/>
    <mergeCell ref="I23:K23"/>
    <mergeCell ref="P23:V23"/>
    <mergeCell ref="P24:V31"/>
    <mergeCell ref="B12:D12"/>
    <mergeCell ref="E12:G12"/>
    <mergeCell ref="H12:J12"/>
    <mergeCell ref="K12:M12"/>
    <mergeCell ref="N12:P12"/>
    <mergeCell ref="Q12:S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5E9A-8313-4511-8E62-5EF9F8932F3C}">
  <dimension ref="A1:V33"/>
  <sheetViews>
    <sheetView workbookViewId="0">
      <selection activeCell="R32" sqref="R32"/>
    </sheetView>
  </sheetViews>
  <sheetFormatPr defaultRowHeight="14.5" x14ac:dyDescent="0.35"/>
  <cols>
    <col min="1" max="1" width="89.54296875" bestFit="1" customWidth="1"/>
    <col min="2" max="2" width="7.7265625" bestFit="1" customWidth="1"/>
    <col min="3" max="3" width="11.81640625" bestFit="1" customWidth="1"/>
    <col min="4" max="4" width="5.1796875" bestFit="1" customWidth="1"/>
    <col min="5" max="5" width="10" bestFit="1" customWidth="1"/>
    <col min="6" max="6" width="7.54296875" bestFit="1" customWidth="1"/>
    <col min="7" max="7" width="11.81640625" bestFit="1" customWidth="1"/>
    <col min="8" max="8" width="16.6328125" bestFit="1" customWidth="1"/>
  </cols>
  <sheetData>
    <row r="1" spans="1:22" ht="15.5" x14ac:dyDescent="0.35">
      <c r="A1" s="12" t="s">
        <v>92</v>
      </c>
      <c r="B1" s="11"/>
      <c r="C1" s="11"/>
      <c r="D1" s="11"/>
      <c r="E1" s="11"/>
      <c r="F1" s="11"/>
      <c r="G1" s="11"/>
      <c r="H1" s="11"/>
    </row>
    <row r="2" spans="1:22" ht="15.5" x14ac:dyDescent="0.35">
      <c r="A2" s="3"/>
      <c r="B2" s="7" t="s">
        <v>18</v>
      </c>
      <c r="C2" s="3" t="s">
        <v>21</v>
      </c>
      <c r="D2" s="3" t="s">
        <v>24</v>
      </c>
      <c r="E2" s="7" t="s">
        <v>27</v>
      </c>
      <c r="F2" s="3" t="s">
        <v>30</v>
      </c>
      <c r="G2" s="3" t="s">
        <v>33</v>
      </c>
      <c r="H2" s="7" t="s">
        <v>36</v>
      </c>
    </row>
    <row r="3" spans="1:22" ht="15.5" x14ac:dyDescent="0.35">
      <c r="A3" s="7" t="s">
        <v>18</v>
      </c>
      <c r="B3" s="3">
        <v>1</v>
      </c>
      <c r="C3" s="3">
        <v>1</v>
      </c>
      <c r="D3" s="3">
        <v>2</v>
      </c>
      <c r="E3" s="3">
        <v>2</v>
      </c>
      <c r="F3" s="3">
        <v>1</v>
      </c>
      <c r="G3" s="3">
        <v>2</v>
      </c>
      <c r="H3" s="3">
        <v>1</v>
      </c>
    </row>
    <row r="4" spans="1:22" x14ac:dyDescent="0.35">
      <c r="A4" s="3" t="s">
        <v>21</v>
      </c>
      <c r="B4" s="3">
        <f>1/C3</f>
        <v>1</v>
      </c>
      <c r="C4" s="3">
        <v>1</v>
      </c>
      <c r="D4" s="3">
        <v>3</v>
      </c>
      <c r="E4" s="3">
        <v>3</v>
      </c>
      <c r="F4" s="3">
        <v>1</v>
      </c>
      <c r="G4" s="3">
        <f>1/3</f>
        <v>0.33333333333333331</v>
      </c>
      <c r="H4" s="3">
        <v>1</v>
      </c>
    </row>
    <row r="5" spans="1:22" x14ac:dyDescent="0.35">
      <c r="A5" s="3" t="s">
        <v>24</v>
      </c>
      <c r="B5" s="3">
        <f>1/D3</f>
        <v>0.5</v>
      </c>
      <c r="C5" s="3">
        <f>1/D4</f>
        <v>0.33333333333333331</v>
      </c>
      <c r="D5" s="3">
        <v>1</v>
      </c>
      <c r="E5" s="3">
        <v>2</v>
      </c>
      <c r="F5" s="3">
        <v>1</v>
      </c>
      <c r="G5" s="3">
        <v>1</v>
      </c>
      <c r="H5" s="3">
        <v>1</v>
      </c>
    </row>
    <row r="6" spans="1:22" ht="15.5" x14ac:dyDescent="0.35">
      <c r="A6" s="7" t="s">
        <v>27</v>
      </c>
      <c r="B6" s="3">
        <f>1/E3</f>
        <v>0.5</v>
      </c>
      <c r="C6" s="3">
        <f>1/E4</f>
        <v>0.33333333333333331</v>
      </c>
      <c r="D6" s="3">
        <f>1/E5</f>
        <v>0.5</v>
      </c>
      <c r="E6" s="3">
        <v>1</v>
      </c>
      <c r="F6" s="3">
        <v>4</v>
      </c>
      <c r="G6" s="3">
        <v>4</v>
      </c>
      <c r="H6" s="3">
        <v>2</v>
      </c>
    </row>
    <row r="7" spans="1:22" x14ac:dyDescent="0.35">
      <c r="A7" s="3" t="s">
        <v>30</v>
      </c>
      <c r="B7" s="3">
        <f>1/F3</f>
        <v>1</v>
      </c>
      <c r="C7" s="3">
        <f>1/F4</f>
        <v>1</v>
      </c>
      <c r="D7" s="3">
        <f>1/F5</f>
        <v>1</v>
      </c>
      <c r="E7" s="3">
        <f>1/F6</f>
        <v>0.25</v>
      </c>
      <c r="F7" s="3">
        <v>1</v>
      </c>
      <c r="G7" s="3">
        <v>1</v>
      </c>
      <c r="H7" s="3">
        <f>1/2</f>
        <v>0.5</v>
      </c>
    </row>
    <row r="8" spans="1:22" x14ac:dyDescent="0.35">
      <c r="A8" s="3" t="s">
        <v>33</v>
      </c>
      <c r="B8" s="3">
        <f>1/G3</f>
        <v>0.5</v>
      </c>
      <c r="C8" s="3">
        <f>1/G4</f>
        <v>3</v>
      </c>
      <c r="D8" s="3">
        <f>1/G5</f>
        <v>1</v>
      </c>
      <c r="E8" s="3">
        <f>1/G6</f>
        <v>0.25</v>
      </c>
      <c r="F8" s="3">
        <f>1/G7</f>
        <v>1</v>
      </c>
      <c r="G8" s="3">
        <v>1</v>
      </c>
      <c r="H8" s="3">
        <f>1/2</f>
        <v>0.5</v>
      </c>
    </row>
    <row r="9" spans="1:22" ht="15.5" x14ac:dyDescent="0.35">
      <c r="A9" s="7" t="s">
        <v>36</v>
      </c>
      <c r="B9" s="3">
        <f>1/H3</f>
        <v>1</v>
      </c>
      <c r="C9" s="3">
        <f>1/H4</f>
        <v>1</v>
      </c>
      <c r="D9" s="3">
        <f>1/H5</f>
        <v>1</v>
      </c>
      <c r="E9" s="3">
        <f>1/H6</f>
        <v>0.5</v>
      </c>
      <c r="F9" s="3">
        <f>1/H7</f>
        <v>2</v>
      </c>
      <c r="G9" s="3">
        <f>1/H8</f>
        <v>2</v>
      </c>
      <c r="H9" s="3">
        <v>1</v>
      </c>
    </row>
    <row r="12" spans="1:22" ht="15.5" x14ac:dyDescent="0.35">
      <c r="A12" s="7" t="s">
        <v>48</v>
      </c>
      <c r="B12" s="36" t="s">
        <v>18</v>
      </c>
      <c r="C12" s="37"/>
      <c r="D12" s="38"/>
      <c r="E12" s="36" t="s">
        <v>83</v>
      </c>
      <c r="F12" s="37"/>
      <c r="G12" s="38"/>
      <c r="H12" s="36" t="s">
        <v>84</v>
      </c>
      <c r="I12" s="37"/>
      <c r="J12" s="38"/>
      <c r="K12" s="36" t="s">
        <v>85</v>
      </c>
      <c r="L12" s="37"/>
      <c r="M12" s="38"/>
      <c r="N12" s="36" t="s">
        <v>86</v>
      </c>
      <c r="O12" s="37"/>
      <c r="P12" s="38"/>
      <c r="Q12" s="36" t="s">
        <v>87</v>
      </c>
      <c r="R12" s="37"/>
      <c r="S12" s="38"/>
      <c r="T12" s="39" t="s">
        <v>88</v>
      </c>
      <c r="U12" s="39"/>
      <c r="V12" s="39"/>
    </row>
    <row r="13" spans="1:22" ht="15.5" x14ac:dyDescent="0.35">
      <c r="A13" s="7" t="s">
        <v>18</v>
      </c>
      <c r="B13" s="13">
        <v>1</v>
      </c>
      <c r="C13" s="13">
        <v>1</v>
      </c>
      <c r="D13" s="13">
        <v>1</v>
      </c>
      <c r="E13" s="13">
        <v>1</v>
      </c>
      <c r="F13" s="13">
        <v>1</v>
      </c>
      <c r="G13" s="13">
        <v>1</v>
      </c>
      <c r="H13" s="13">
        <v>2</v>
      </c>
      <c r="I13" s="13">
        <v>3</v>
      </c>
      <c r="J13" s="13">
        <v>4</v>
      </c>
      <c r="K13" s="13">
        <v>2</v>
      </c>
      <c r="L13" s="13">
        <v>3</v>
      </c>
      <c r="M13" s="13">
        <v>4</v>
      </c>
      <c r="N13" s="13">
        <v>1</v>
      </c>
      <c r="O13" s="13">
        <v>1</v>
      </c>
      <c r="P13" s="13">
        <v>1</v>
      </c>
      <c r="Q13" s="13">
        <v>2</v>
      </c>
      <c r="R13" s="13">
        <v>3</v>
      </c>
      <c r="S13" s="13">
        <v>4</v>
      </c>
      <c r="T13" s="13">
        <v>1</v>
      </c>
      <c r="U13" s="13">
        <v>1</v>
      </c>
      <c r="V13" s="13">
        <v>1</v>
      </c>
    </row>
    <row r="14" spans="1:22" ht="15.5" x14ac:dyDescent="0.35">
      <c r="A14" s="3" t="s">
        <v>83</v>
      </c>
      <c r="B14" s="13">
        <f>1/E13</f>
        <v>1</v>
      </c>
      <c r="C14" s="13">
        <f t="shared" ref="C14:D14" si="0">1/F13</f>
        <v>1</v>
      </c>
      <c r="D14" s="13">
        <f t="shared" si="0"/>
        <v>1</v>
      </c>
      <c r="E14" s="13">
        <v>1</v>
      </c>
      <c r="F14" s="13">
        <v>1</v>
      </c>
      <c r="G14" s="13">
        <v>1</v>
      </c>
      <c r="H14" s="13">
        <v>2</v>
      </c>
      <c r="I14" s="13">
        <v>3</v>
      </c>
      <c r="J14" s="13">
        <v>4</v>
      </c>
      <c r="K14" s="13">
        <v>2</v>
      </c>
      <c r="L14" s="13">
        <v>3</v>
      </c>
      <c r="M14" s="13">
        <v>4</v>
      </c>
      <c r="N14" s="13">
        <v>1</v>
      </c>
      <c r="O14" s="13">
        <v>1</v>
      </c>
      <c r="P14" s="13">
        <v>1</v>
      </c>
      <c r="Q14" s="13">
        <f>1/2</f>
        <v>0.5</v>
      </c>
      <c r="R14" s="13">
        <f>1/3</f>
        <v>0.33333333333333331</v>
      </c>
      <c r="S14" s="13">
        <f>1/4</f>
        <v>0.25</v>
      </c>
      <c r="T14" s="13">
        <v>1</v>
      </c>
      <c r="U14" s="13">
        <v>1</v>
      </c>
      <c r="V14" s="13">
        <v>1</v>
      </c>
    </row>
    <row r="15" spans="1:22" ht="15.5" x14ac:dyDescent="0.35">
      <c r="A15" s="3" t="s">
        <v>84</v>
      </c>
      <c r="B15" s="13">
        <f>1/H13</f>
        <v>0.5</v>
      </c>
      <c r="C15" s="13">
        <f t="shared" ref="C15:D15" si="1">1/I13</f>
        <v>0.33333333333333331</v>
      </c>
      <c r="D15" s="13">
        <f t="shared" si="1"/>
        <v>0.25</v>
      </c>
      <c r="E15" s="13">
        <f>1/H14</f>
        <v>0.5</v>
      </c>
      <c r="F15" s="13">
        <f t="shared" ref="F15:G15" si="2">1/I14</f>
        <v>0.33333333333333331</v>
      </c>
      <c r="G15" s="13">
        <f t="shared" si="2"/>
        <v>0.25</v>
      </c>
      <c r="H15" s="13">
        <v>1</v>
      </c>
      <c r="I15" s="13">
        <v>1</v>
      </c>
      <c r="J15" s="13">
        <v>1</v>
      </c>
      <c r="K15" s="13">
        <v>2</v>
      </c>
      <c r="L15" s="13">
        <v>3</v>
      </c>
      <c r="M15" s="13">
        <v>4</v>
      </c>
      <c r="N15" s="13">
        <v>1</v>
      </c>
      <c r="O15" s="13">
        <v>1</v>
      </c>
      <c r="P15" s="13">
        <v>1</v>
      </c>
      <c r="Q15" s="13">
        <v>1</v>
      </c>
      <c r="R15" s="13">
        <v>1</v>
      </c>
      <c r="S15" s="13">
        <v>1</v>
      </c>
      <c r="T15" s="13">
        <v>1</v>
      </c>
      <c r="U15" s="13">
        <v>1</v>
      </c>
      <c r="V15" s="13">
        <v>1</v>
      </c>
    </row>
    <row r="16" spans="1:22" ht="15.5" x14ac:dyDescent="0.35">
      <c r="A16" s="7" t="s">
        <v>85</v>
      </c>
      <c r="B16" s="13">
        <f>1/K13</f>
        <v>0.5</v>
      </c>
      <c r="C16" s="13">
        <f t="shared" ref="C16:D16" si="3">1/L13</f>
        <v>0.33333333333333331</v>
      </c>
      <c r="D16" s="13">
        <f t="shared" si="3"/>
        <v>0.25</v>
      </c>
      <c r="E16" s="13">
        <f>1/K14</f>
        <v>0.5</v>
      </c>
      <c r="F16" s="13">
        <f t="shared" ref="F16:G16" si="4">1/L14</f>
        <v>0.33333333333333331</v>
      </c>
      <c r="G16" s="13">
        <f t="shared" si="4"/>
        <v>0.25</v>
      </c>
      <c r="H16" s="13">
        <f>1/K15</f>
        <v>0.5</v>
      </c>
      <c r="I16" s="13">
        <f t="shared" ref="I16:J16" si="5">1/L15</f>
        <v>0.33333333333333331</v>
      </c>
      <c r="J16" s="13">
        <f t="shared" si="5"/>
        <v>0.25</v>
      </c>
      <c r="K16" s="13">
        <v>1</v>
      </c>
      <c r="L16" s="13">
        <v>1</v>
      </c>
      <c r="M16" s="13">
        <v>1</v>
      </c>
      <c r="N16" s="13">
        <v>2</v>
      </c>
      <c r="O16" s="13">
        <v>3</v>
      </c>
      <c r="P16" s="13">
        <v>4</v>
      </c>
      <c r="Q16" s="13">
        <v>2</v>
      </c>
      <c r="R16" s="13">
        <v>3</v>
      </c>
      <c r="S16" s="13">
        <v>4</v>
      </c>
      <c r="T16" s="13">
        <v>2</v>
      </c>
      <c r="U16" s="13">
        <v>3</v>
      </c>
      <c r="V16" s="13">
        <v>4</v>
      </c>
    </row>
    <row r="17" spans="1:22" ht="15.5" x14ac:dyDescent="0.35">
      <c r="A17" s="3" t="s">
        <v>86</v>
      </c>
      <c r="B17" s="13">
        <f>1/N13</f>
        <v>1</v>
      </c>
      <c r="C17" s="13">
        <f t="shared" ref="C17:D17" si="6">1/O13</f>
        <v>1</v>
      </c>
      <c r="D17" s="13">
        <f t="shared" si="6"/>
        <v>1</v>
      </c>
      <c r="E17" s="13">
        <f>1/N14</f>
        <v>1</v>
      </c>
      <c r="F17" s="13">
        <f t="shared" ref="F17:G17" si="7">1/O14</f>
        <v>1</v>
      </c>
      <c r="G17" s="13">
        <f t="shared" si="7"/>
        <v>1</v>
      </c>
      <c r="H17" s="13">
        <f>1/N15</f>
        <v>1</v>
      </c>
      <c r="I17" s="13">
        <f t="shared" ref="I17:J17" si="8">1/O15</f>
        <v>1</v>
      </c>
      <c r="J17" s="13">
        <f t="shared" si="8"/>
        <v>1</v>
      </c>
      <c r="K17" s="13">
        <f>1/N16</f>
        <v>0.5</v>
      </c>
      <c r="L17" s="13">
        <f t="shared" ref="L17:M17" si="9">1/O16</f>
        <v>0.33333333333333331</v>
      </c>
      <c r="M17" s="13">
        <f t="shared" si="9"/>
        <v>0.25</v>
      </c>
      <c r="N17" s="13">
        <v>1</v>
      </c>
      <c r="O17" s="13">
        <v>1</v>
      </c>
      <c r="P17" s="13">
        <v>1</v>
      </c>
      <c r="Q17" s="13">
        <v>1</v>
      </c>
      <c r="R17" s="13">
        <v>1</v>
      </c>
      <c r="S17" s="13">
        <v>1</v>
      </c>
      <c r="T17" s="13">
        <f t="shared" ref="T17:T18" si="10">1/2</f>
        <v>0.5</v>
      </c>
      <c r="U17" s="13">
        <f t="shared" ref="U17:U18" si="11">1/3</f>
        <v>0.33333333333333331</v>
      </c>
      <c r="V17" s="13">
        <f t="shared" ref="V17:V18" si="12">1/4</f>
        <v>0.25</v>
      </c>
    </row>
    <row r="18" spans="1:22" ht="15.5" x14ac:dyDescent="0.35">
      <c r="A18" s="3" t="s">
        <v>87</v>
      </c>
      <c r="B18" s="13">
        <f>1/Q13</f>
        <v>0.5</v>
      </c>
      <c r="C18" s="13">
        <f t="shared" ref="C18:D18" si="13">1/R13</f>
        <v>0.33333333333333331</v>
      </c>
      <c r="D18" s="13">
        <f t="shared" si="13"/>
        <v>0.25</v>
      </c>
      <c r="E18" s="13">
        <f>1/Q14</f>
        <v>2</v>
      </c>
      <c r="F18" s="13">
        <f t="shared" ref="F18:G18" si="14">1/R14</f>
        <v>3</v>
      </c>
      <c r="G18" s="13">
        <f t="shared" si="14"/>
        <v>4</v>
      </c>
      <c r="H18" s="13">
        <f>1/Q15</f>
        <v>1</v>
      </c>
      <c r="I18" s="13">
        <f t="shared" ref="I18:J18" si="15">1/R15</f>
        <v>1</v>
      </c>
      <c r="J18" s="13">
        <f t="shared" si="15"/>
        <v>1</v>
      </c>
      <c r="K18" s="13">
        <f>1/Q16</f>
        <v>0.5</v>
      </c>
      <c r="L18" s="13">
        <f t="shared" ref="L18:M18" si="16">1/R16</f>
        <v>0.33333333333333331</v>
      </c>
      <c r="M18" s="13">
        <f t="shared" si="16"/>
        <v>0.25</v>
      </c>
      <c r="N18" s="13">
        <f>1/Q17</f>
        <v>1</v>
      </c>
      <c r="O18" s="13">
        <f t="shared" ref="O18:P18" si="17">1/R17</f>
        <v>1</v>
      </c>
      <c r="P18" s="13">
        <f t="shared" si="17"/>
        <v>1</v>
      </c>
      <c r="Q18" s="13">
        <v>1</v>
      </c>
      <c r="R18" s="13">
        <v>1</v>
      </c>
      <c r="S18" s="13">
        <v>1</v>
      </c>
      <c r="T18" s="13">
        <f t="shared" si="10"/>
        <v>0.5</v>
      </c>
      <c r="U18" s="13">
        <f t="shared" si="11"/>
        <v>0.33333333333333331</v>
      </c>
      <c r="V18" s="13">
        <f t="shared" si="12"/>
        <v>0.25</v>
      </c>
    </row>
    <row r="19" spans="1:22" ht="15.5" x14ac:dyDescent="0.35">
      <c r="A19" s="7" t="s">
        <v>88</v>
      </c>
      <c r="B19" s="13">
        <f>1/T13</f>
        <v>1</v>
      </c>
      <c r="C19" s="13">
        <f t="shared" ref="C19:D19" si="18">1/U13</f>
        <v>1</v>
      </c>
      <c r="D19" s="13">
        <f t="shared" si="18"/>
        <v>1</v>
      </c>
      <c r="E19" s="13">
        <f>1/T14</f>
        <v>1</v>
      </c>
      <c r="F19" s="13">
        <f t="shared" ref="F19:G19" si="19">1/U14</f>
        <v>1</v>
      </c>
      <c r="G19" s="13">
        <f t="shared" si="19"/>
        <v>1</v>
      </c>
      <c r="H19" s="13">
        <f>1/T15</f>
        <v>1</v>
      </c>
      <c r="I19" s="13">
        <f t="shared" ref="I19:J19" si="20">1/U15</f>
        <v>1</v>
      </c>
      <c r="J19" s="13">
        <f t="shared" si="20"/>
        <v>1</v>
      </c>
      <c r="K19" s="13">
        <f>1/T16</f>
        <v>0.5</v>
      </c>
      <c r="L19" s="13">
        <f t="shared" ref="L19:M19" si="21">1/U16</f>
        <v>0.33333333333333331</v>
      </c>
      <c r="M19" s="13">
        <f t="shared" si="21"/>
        <v>0.25</v>
      </c>
      <c r="N19" s="13">
        <f>1/T17</f>
        <v>2</v>
      </c>
      <c r="O19" s="13">
        <f t="shared" ref="O19:P19" si="22">1/U17</f>
        <v>3</v>
      </c>
      <c r="P19" s="13">
        <f t="shared" si="22"/>
        <v>4</v>
      </c>
      <c r="Q19" s="13">
        <f>1/T18</f>
        <v>2</v>
      </c>
      <c r="R19" s="13">
        <f t="shared" ref="R19:S19" si="23">1/U18</f>
        <v>3</v>
      </c>
      <c r="S19" s="13">
        <f t="shared" si="23"/>
        <v>4</v>
      </c>
      <c r="T19" s="13">
        <v>1</v>
      </c>
      <c r="U19" s="13">
        <v>1</v>
      </c>
      <c r="V19" s="13">
        <v>1</v>
      </c>
    </row>
    <row r="20" spans="1:22" ht="15.5" x14ac:dyDescent="0.35">
      <c r="A20" s="2"/>
      <c r="B20" s="2"/>
      <c r="C20" s="2"/>
      <c r="D20" s="2"/>
      <c r="E20" s="2"/>
      <c r="F20" s="2"/>
      <c r="G20" s="2"/>
      <c r="H20" s="2"/>
      <c r="I20" s="2"/>
      <c r="J20" s="2"/>
      <c r="K20" s="2"/>
      <c r="L20" s="2"/>
      <c r="M20" s="2"/>
      <c r="N20" s="2"/>
      <c r="O20" s="2"/>
      <c r="P20" s="2"/>
      <c r="Q20" s="2"/>
      <c r="R20" s="2"/>
      <c r="S20" s="2"/>
      <c r="T20" s="2"/>
      <c r="U20" s="2"/>
      <c r="V20" s="2"/>
    </row>
    <row r="21" spans="1:22" ht="15.5" x14ac:dyDescent="0.35">
      <c r="A21" s="2" t="s">
        <v>69</v>
      </c>
      <c r="B21" s="2"/>
      <c r="C21" s="2"/>
      <c r="D21" s="2"/>
      <c r="E21" s="2"/>
      <c r="F21" s="2"/>
      <c r="G21" s="2"/>
      <c r="H21" s="2"/>
      <c r="I21" s="2"/>
      <c r="J21" s="2"/>
      <c r="K21" s="2"/>
      <c r="L21" s="2"/>
      <c r="M21" s="2"/>
      <c r="N21" s="2"/>
      <c r="O21" s="2"/>
      <c r="P21" s="2"/>
      <c r="Q21" s="2"/>
      <c r="R21" s="2"/>
      <c r="S21" s="2"/>
      <c r="T21" s="2"/>
      <c r="U21" s="2"/>
      <c r="V21" s="2"/>
    </row>
    <row r="22" spans="1:22" ht="15.5" x14ac:dyDescent="0.35">
      <c r="A22" s="2"/>
      <c r="B22" s="2"/>
      <c r="C22" s="2"/>
      <c r="D22" s="2"/>
      <c r="E22" s="2"/>
      <c r="F22" s="2"/>
      <c r="G22" s="2"/>
      <c r="H22" s="2"/>
      <c r="I22" s="2"/>
      <c r="J22" s="2"/>
      <c r="K22" s="2"/>
      <c r="L22" s="2"/>
      <c r="M22" s="2"/>
      <c r="N22" s="2"/>
      <c r="O22" s="2"/>
      <c r="P22" s="2"/>
      <c r="Q22" s="2"/>
      <c r="R22" s="2"/>
      <c r="S22" s="2"/>
      <c r="T22" s="2"/>
      <c r="U22" s="2"/>
      <c r="V22" s="2"/>
    </row>
    <row r="23" spans="1:22" ht="15.5" x14ac:dyDescent="0.35">
      <c r="A23" s="7" t="s">
        <v>48</v>
      </c>
      <c r="B23" s="35" t="s">
        <v>69</v>
      </c>
      <c r="C23" s="35"/>
      <c r="D23" s="35"/>
      <c r="E23" s="2"/>
      <c r="F23" s="2"/>
      <c r="G23" s="2"/>
      <c r="H23" s="7" t="s">
        <v>48</v>
      </c>
      <c r="I23" s="35" t="s">
        <v>73</v>
      </c>
      <c r="J23" s="35"/>
      <c r="K23" s="35"/>
      <c r="L23" s="24" t="s">
        <v>74</v>
      </c>
      <c r="M23" s="23" t="s">
        <v>75</v>
      </c>
      <c r="N23" s="23" t="s">
        <v>76</v>
      </c>
      <c r="O23" s="2"/>
      <c r="P23" s="35" t="s">
        <v>77</v>
      </c>
      <c r="Q23" s="35"/>
      <c r="R23" s="35"/>
      <c r="S23" s="35"/>
      <c r="T23" s="35"/>
      <c r="U23" s="35"/>
      <c r="V23" s="35"/>
    </row>
    <row r="24" spans="1:22" ht="15.5" x14ac:dyDescent="0.35">
      <c r="A24" s="7" t="s">
        <v>18</v>
      </c>
      <c r="B24" s="23">
        <f>GEOMEAN(B13,E13,H13,K13,N13,Q13,T13)</f>
        <v>1.3459001926323562</v>
      </c>
      <c r="C24" s="23">
        <f>GEOMEAN(C13,F13,I13,L13,O13,R13,U13)</f>
        <v>1.6013288855576973</v>
      </c>
      <c r="D24" s="23">
        <f>GEOMEAN(D13,G13,J13,M13,P13,S13,V13)</f>
        <v>1.8114473285278132</v>
      </c>
      <c r="E24" s="2"/>
      <c r="F24" s="2"/>
      <c r="G24" s="2"/>
      <c r="H24" s="7" t="s">
        <v>18</v>
      </c>
      <c r="I24" s="23">
        <f>B24*$B$33</f>
        <v>0.18149309492300211</v>
      </c>
      <c r="J24" s="23">
        <f>C24*$C$33</f>
        <v>0.2206555865621897</v>
      </c>
      <c r="K24" s="23">
        <f>D24*$D$33</f>
        <v>0.25511640934516849</v>
      </c>
      <c r="L24" s="23">
        <f>AVERAGE(I24:K24)</f>
        <v>0.2190883636101201</v>
      </c>
      <c r="M24" s="23">
        <f>L24/$L$31</f>
        <v>0.21895062423527581</v>
      </c>
      <c r="N24" s="28">
        <f>M24</f>
        <v>0.21895062423527581</v>
      </c>
      <c r="O24" s="2"/>
      <c r="P24" s="34" t="s">
        <v>106</v>
      </c>
      <c r="Q24" s="34"/>
      <c r="R24" s="34"/>
      <c r="S24" s="34"/>
      <c r="T24" s="34"/>
      <c r="U24" s="34"/>
      <c r="V24" s="34"/>
    </row>
    <row r="25" spans="1:22" ht="15.5" x14ac:dyDescent="0.35">
      <c r="A25" s="3" t="s">
        <v>83</v>
      </c>
      <c r="B25" s="23">
        <f t="shared" ref="B25:D28" si="24">GEOMEAN(B14,E14,H14,K14,N14,Q14,T14)</f>
        <v>1.1040895136738123</v>
      </c>
      <c r="C25" s="23">
        <f t="shared" si="24"/>
        <v>1.1699308127586869</v>
      </c>
      <c r="D25" s="23">
        <f t="shared" si="24"/>
        <v>1.2190136542044754</v>
      </c>
      <c r="E25" s="2"/>
      <c r="F25" s="2"/>
      <c r="G25" s="2"/>
      <c r="H25" s="3" t="s">
        <v>83</v>
      </c>
      <c r="I25" s="23">
        <f t="shared" ref="I25:I30" si="25">B25*$B$33</f>
        <v>0.14888520263658894</v>
      </c>
      <c r="J25" s="23">
        <f t="shared" ref="J25:J30" si="26">C25*$C$33</f>
        <v>0.16121096175476812</v>
      </c>
      <c r="K25" s="23">
        <f t="shared" ref="K25:K30" si="27">D25*$D$33</f>
        <v>0.17168061224066866</v>
      </c>
      <c r="L25" s="23">
        <f t="shared" ref="L25:L30" si="28">AVERAGE(I25:K25)</f>
        <v>0.16059225887734191</v>
      </c>
      <c r="M25" s="23">
        <f t="shared" ref="M25:M30" si="29">L25/$L$31</f>
        <v>0.16049129560855799</v>
      </c>
      <c r="N25" s="28">
        <f t="shared" ref="N25:N30" si="30">M25</f>
        <v>0.16049129560855799</v>
      </c>
      <c r="O25" s="2"/>
      <c r="P25" s="34"/>
      <c r="Q25" s="34"/>
      <c r="R25" s="34"/>
      <c r="S25" s="34"/>
      <c r="T25" s="34"/>
      <c r="U25" s="34"/>
      <c r="V25" s="34"/>
    </row>
    <row r="26" spans="1:22" ht="15.5" x14ac:dyDescent="0.35">
      <c r="A26" s="3" t="s">
        <v>84</v>
      </c>
      <c r="B26" s="23">
        <f>GEOMEAN(B15,E15,H15,K15,N15,Q15,T15)</f>
        <v>0.90572366426390671</v>
      </c>
      <c r="C26" s="23">
        <f>GEOMEAN(C15,F15,I15,L15,O15,R15,U15)</f>
        <v>0.85475139990715221</v>
      </c>
      <c r="D26" s="23">
        <f>GEOMEAN(D15,G15,J15,M15,P15,S15,V15)</f>
        <v>0.82033535600763796</v>
      </c>
      <c r="E26" s="4"/>
      <c r="F26" s="4"/>
      <c r="G26" s="4"/>
      <c r="H26" s="3" t="s">
        <v>84</v>
      </c>
      <c r="I26" s="23">
        <f t="shared" si="25"/>
        <v>0.12213579570915552</v>
      </c>
      <c r="J26" s="23">
        <f t="shared" si="26"/>
        <v>0.11778072150723708</v>
      </c>
      <c r="K26" s="23">
        <f t="shared" si="27"/>
        <v>0.1155324845429784</v>
      </c>
      <c r="L26" s="23">
        <f t="shared" si="28"/>
        <v>0.118483000586457</v>
      </c>
      <c r="M26" s="23">
        <f t="shared" si="29"/>
        <v>0.11840851112402487</v>
      </c>
      <c r="N26" s="28">
        <f t="shared" si="30"/>
        <v>0.11840851112402487</v>
      </c>
      <c r="O26" s="4"/>
      <c r="P26" s="34"/>
      <c r="Q26" s="34"/>
      <c r="R26" s="34"/>
      <c r="S26" s="34"/>
      <c r="T26" s="34"/>
      <c r="U26" s="34"/>
      <c r="V26" s="34"/>
    </row>
    <row r="27" spans="1:22" ht="15.5" x14ac:dyDescent="0.35">
      <c r="A27" s="7" t="s">
        <v>85</v>
      </c>
      <c r="B27" s="23">
        <f t="shared" si="24"/>
        <v>1</v>
      </c>
      <c r="C27" s="23">
        <f t="shared" si="24"/>
        <v>1</v>
      </c>
      <c r="D27" s="23">
        <f t="shared" si="24"/>
        <v>1</v>
      </c>
      <c r="E27" s="4"/>
      <c r="F27" s="4"/>
      <c r="G27" s="4"/>
      <c r="H27" s="7" t="s">
        <v>85</v>
      </c>
      <c r="I27" s="23">
        <f t="shared" si="25"/>
        <v>0.13484885128668561</v>
      </c>
      <c r="J27" s="23">
        <f t="shared" si="26"/>
        <v>0.13779529524026643</v>
      </c>
      <c r="K27" s="23">
        <f t="shared" si="27"/>
        <v>0.14083567616205817</v>
      </c>
      <c r="L27" s="23">
        <f t="shared" si="28"/>
        <v>0.13782660756300338</v>
      </c>
      <c r="M27" s="23">
        <f t="shared" si="29"/>
        <v>0.13773995690547955</v>
      </c>
      <c r="N27" s="28">
        <f t="shared" si="30"/>
        <v>0.13773995690547955</v>
      </c>
      <c r="O27" s="4"/>
      <c r="P27" s="34"/>
      <c r="Q27" s="34"/>
      <c r="R27" s="34"/>
      <c r="S27" s="34"/>
      <c r="T27" s="34"/>
      <c r="U27" s="34"/>
      <c r="V27" s="34"/>
    </row>
    <row r="28" spans="1:22" ht="15.5" x14ac:dyDescent="0.35">
      <c r="A28" s="3" t="s">
        <v>86</v>
      </c>
      <c r="B28" s="23">
        <f>GEOMEAN(B17,E17,H17,K17,N17,Q17,T17)</f>
        <v>0.82033535600763796</v>
      </c>
      <c r="C28" s="23">
        <f t="shared" si="24"/>
        <v>0.73059995564323643</v>
      </c>
      <c r="D28" s="23">
        <f t="shared" si="24"/>
        <v>0.67295009631617808</v>
      </c>
      <c r="E28" s="4"/>
      <c r="F28" s="4"/>
      <c r="G28" s="4"/>
      <c r="H28" s="3" t="s">
        <v>86</v>
      </c>
      <c r="I28" s="23">
        <f t="shared" si="25"/>
        <v>0.11062128042748427</v>
      </c>
      <c r="J28" s="23">
        <f t="shared" si="26"/>
        <v>0.10067323659038532</v>
      </c>
      <c r="K28" s="23">
        <f t="shared" si="27"/>
        <v>9.4775381838011111E-2</v>
      </c>
      <c r="L28" s="23">
        <f t="shared" si="28"/>
        <v>0.1020232996186269</v>
      </c>
      <c r="M28" s="23">
        <f t="shared" si="29"/>
        <v>0.10195915825905187</v>
      </c>
      <c r="N28" s="28">
        <f t="shared" si="30"/>
        <v>0.10195915825905187</v>
      </c>
      <c r="O28" s="4"/>
      <c r="P28" s="34"/>
      <c r="Q28" s="34"/>
      <c r="R28" s="34"/>
      <c r="S28" s="34"/>
      <c r="T28" s="34"/>
      <c r="U28" s="34"/>
      <c r="V28" s="34"/>
    </row>
    <row r="29" spans="1:22" ht="15.5" x14ac:dyDescent="0.35">
      <c r="A29" s="3" t="s">
        <v>87</v>
      </c>
      <c r="B29" s="23">
        <f t="shared" ref="B29:D30" si="31">GEOMEAN(B18,E18,H18,K18,N18,Q18,T18)</f>
        <v>0.82033535600763796</v>
      </c>
      <c r="C29" s="23">
        <f t="shared" si="31"/>
        <v>0.73059995564323643</v>
      </c>
      <c r="D29" s="23">
        <f t="shared" si="31"/>
        <v>0.67295009631617808</v>
      </c>
      <c r="E29" s="4"/>
      <c r="F29" s="4"/>
      <c r="G29" s="4"/>
      <c r="H29" s="3" t="s">
        <v>87</v>
      </c>
      <c r="I29" s="23">
        <f t="shared" si="25"/>
        <v>0.11062128042748427</v>
      </c>
      <c r="J29" s="23">
        <f t="shared" si="26"/>
        <v>0.10067323659038532</v>
      </c>
      <c r="K29" s="23">
        <f t="shared" si="27"/>
        <v>9.4775381838011111E-2</v>
      </c>
      <c r="L29" s="23">
        <f t="shared" si="28"/>
        <v>0.1020232996186269</v>
      </c>
      <c r="M29" s="23">
        <f t="shared" si="29"/>
        <v>0.10195915825905187</v>
      </c>
      <c r="N29" s="28">
        <f t="shared" si="30"/>
        <v>0.10195915825905187</v>
      </c>
      <c r="O29" s="4"/>
      <c r="P29" s="34"/>
      <c r="Q29" s="34"/>
      <c r="R29" s="34"/>
      <c r="S29" s="34"/>
      <c r="T29" s="34"/>
      <c r="U29" s="34"/>
      <c r="V29" s="34"/>
    </row>
    <row r="30" spans="1:22" ht="15.5" x14ac:dyDescent="0.35">
      <c r="A30" s="7" t="s">
        <v>88</v>
      </c>
      <c r="B30" s="23">
        <f t="shared" si="31"/>
        <v>1.1040895136738123</v>
      </c>
      <c r="C30" s="23">
        <f t="shared" si="31"/>
        <v>1.1699308127586869</v>
      </c>
      <c r="D30" s="23">
        <f t="shared" si="31"/>
        <v>1.2190136542044754</v>
      </c>
      <c r="E30" s="4"/>
      <c r="F30" s="4"/>
      <c r="G30" s="4"/>
      <c r="H30" s="7" t="s">
        <v>88</v>
      </c>
      <c r="I30" s="23">
        <f t="shared" si="25"/>
        <v>0.14888520263658894</v>
      </c>
      <c r="J30" s="23">
        <f t="shared" si="26"/>
        <v>0.16121096175476812</v>
      </c>
      <c r="K30" s="23">
        <f t="shared" si="27"/>
        <v>0.17168061224066866</v>
      </c>
      <c r="L30" s="23">
        <f t="shared" si="28"/>
        <v>0.16059225887734191</v>
      </c>
      <c r="M30" s="23">
        <f t="shared" si="29"/>
        <v>0.16049129560855799</v>
      </c>
      <c r="N30" s="28">
        <f t="shared" si="30"/>
        <v>0.16049129560855799</v>
      </c>
      <c r="O30" s="4"/>
      <c r="P30" s="34"/>
      <c r="Q30" s="34"/>
      <c r="R30" s="34"/>
      <c r="S30" s="34"/>
      <c r="T30" s="34"/>
      <c r="U30" s="34"/>
      <c r="V30" s="34"/>
    </row>
    <row r="31" spans="1:22" ht="15.5" x14ac:dyDescent="0.35">
      <c r="A31" s="26" t="s">
        <v>70</v>
      </c>
      <c r="B31" s="25">
        <f>SUM(B24:B30)</f>
        <v>7.100473596259163</v>
      </c>
      <c r="C31" s="25">
        <f t="shared" ref="C31:D31" si="32">SUM(C24:C30)</f>
        <v>7.2571418222686956</v>
      </c>
      <c r="D31" s="25">
        <f t="shared" si="32"/>
        <v>7.4157101855767582</v>
      </c>
      <c r="E31" s="4"/>
      <c r="F31" s="4"/>
      <c r="G31" s="4"/>
      <c r="H31" s="26" t="s">
        <v>70</v>
      </c>
      <c r="I31" s="23"/>
      <c r="J31" s="23"/>
      <c r="K31" s="23"/>
      <c r="L31" s="25">
        <f>SUM(L24:L30)</f>
        <v>1.0006290887515181</v>
      </c>
      <c r="M31" s="25">
        <f>SUM(M24:M30)</f>
        <v>1</v>
      </c>
      <c r="N31" s="27">
        <f>SUM(N24:N30)</f>
        <v>1</v>
      </c>
      <c r="O31" s="4"/>
      <c r="P31" s="34"/>
      <c r="Q31" s="34"/>
      <c r="R31" s="34"/>
      <c r="S31" s="34"/>
      <c r="T31" s="34"/>
      <c r="U31" s="34"/>
      <c r="V31" s="34"/>
    </row>
    <row r="32" spans="1:22" ht="15.5" x14ac:dyDescent="0.35">
      <c r="A32" s="26" t="s">
        <v>71</v>
      </c>
      <c r="B32" s="25">
        <f>1/B31</f>
        <v>0.14083567616205817</v>
      </c>
      <c r="C32" s="25">
        <f t="shared" ref="C32:D32" si="33">1/C31</f>
        <v>0.13779529524026643</v>
      </c>
      <c r="D32" s="25">
        <f t="shared" si="33"/>
        <v>0.13484885128668561</v>
      </c>
      <c r="E32" s="4"/>
      <c r="F32" s="4"/>
      <c r="G32" s="4"/>
      <c r="H32" s="4"/>
      <c r="I32" s="4"/>
      <c r="J32" s="4"/>
      <c r="K32" s="4"/>
      <c r="L32" s="4"/>
      <c r="M32" s="4"/>
      <c r="N32" s="4"/>
      <c r="O32" s="4"/>
      <c r="P32" s="4"/>
      <c r="Q32" s="4"/>
      <c r="R32" s="4"/>
      <c r="S32" s="4"/>
      <c r="T32" s="4"/>
      <c r="U32" s="4"/>
      <c r="V32" s="4"/>
    </row>
    <row r="33" spans="1:22" ht="15.5" x14ac:dyDescent="0.35">
      <c r="A33" s="26" t="s">
        <v>72</v>
      </c>
      <c r="B33" s="25">
        <f>MIN(B32:D32)</f>
        <v>0.13484885128668561</v>
      </c>
      <c r="C33" s="25">
        <f>MEDIAN(B32:D32)</f>
        <v>0.13779529524026643</v>
      </c>
      <c r="D33" s="25">
        <f>MAX(B32:D32)</f>
        <v>0.14083567616205817</v>
      </c>
      <c r="E33" s="4"/>
      <c r="F33" s="4"/>
      <c r="G33" s="4"/>
      <c r="H33" s="4"/>
      <c r="I33" s="4"/>
      <c r="J33" s="4"/>
      <c r="K33" s="4"/>
      <c r="L33" s="4"/>
      <c r="M33" s="4"/>
      <c r="N33" s="4"/>
      <c r="O33" s="4"/>
      <c r="P33" s="4"/>
      <c r="Q33" s="4"/>
      <c r="R33" s="4"/>
      <c r="S33" s="4"/>
      <c r="T33" s="4"/>
      <c r="U33" s="4"/>
      <c r="V33" s="4"/>
    </row>
  </sheetData>
  <mergeCells count="11">
    <mergeCell ref="T12:V12"/>
    <mergeCell ref="B23:D23"/>
    <mergeCell ref="I23:K23"/>
    <mergeCell ref="P23:V23"/>
    <mergeCell ref="P24:V31"/>
    <mergeCell ref="B12:D12"/>
    <mergeCell ref="E12:G12"/>
    <mergeCell ref="H12:J12"/>
    <mergeCell ref="K12:M12"/>
    <mergeCell ref="N12:P12"/>
    <mergeCell ref="Q12:S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BFBD-70A0-41F3-B8BD-8729935E6AC7}">
  <dimension ref="A1:AH51"/>
  <sheetViews>
    <sheetView tabSelected="1" topLeftCell="O1" workbookViewId="0">
      <selection activeCell="V5" sqref="V5"/>
    </sheetView>
  </sheetViews>
  <sheetFormatPr defaultRowHeight="14.5" x14ac:dyDescent="0.35"/>
  <cols>
    <col min="1" max="1" width="27" bestFit="1" customWidth="1"/>
    <col min="2" max="2" width="28.90625" bestFit="1" customWidth="1"/>
    <col min="3" max="3" width="28.90625" customWidth="1"/>
    <col min="4" max="5" width="27" bestFit="1" customWidth="1"/>
    <col min="6" max="6" width="33.7265625" bestFit="1" customWidth="1"/>
    <col min="8" max="8" width="33.7265625" bestFit="1" customWidth="1"/>
    <col min="9" max="9" width="6.81640625" customWidth="1"/>
    <col min="10" max="10" width="11.81640625" bestFit="1" customWidth="1"/>
    <col min="11" max="11" width="10.26953125" customWidth="1"/>
    <col min="12" max="12" width="11.7265625" customWidth="1"/>
    <col min="13" max="13" width="12.81640625" customWidth="1"/>
    <col min="16" max="16" width="27" bestFit="1" customWidth="1"/>
    <col min="21" max="21" width="29.7265625" bestFit="1" customWidth="1"/>
    <col min="26" max="26" width="11.7265625" bestFit="1" customWidth="1"/>
    <col min="27" max="27" width="14" bestFit="1" customWidth="1"/>
  </cols>
  <sheetData>
    <row r="1" spans="1:34" x14ac:dyDescent="0.35">
      <c r="A1" t="s">
        <v>115</v>
      </c>
    </row>
    <row r="3" spans="1:34" x14ac:dyDescent="0.35">
      <c r="A3" s="33" t="s">
        <v>93</v>
      </c>
      <c r="B3" s="33"/>
      <c r="C3" s="11"/>
      <c r="D3" s="11"/>
      <c r="E3" s="11"/>
      <c r="F3" s="11"/>
    </row>
    <row r="4" spans="1:34" ht="15.5" x14ac:dyDescent="0.35">
      <c r="A4" s="31" t="s">
        <v>95</v>
      </c>
      <c r="B4" s="31"/>
      <c r="C4" s="11"/>
      <c r="D4" s="3"/>
      <c r="E4" s="3" t="s">
        <v>94</v>
      </c>
      <c r="F4" s="3" t="s">
        <v>20</v>
      </c>
      <c r="H4" s="3"/>
      <c r="I4" s="31" t="s">
        <v>94</v>
      </c>
      <c r="J4" s="31"/>
      <c r="K4" s="31"/>
      <c r="L4" s="31" t="s">
        <v>20</v>
      </c>
      <c r="M4" s="31"/>
      <c r="N4" s="31"/>
      <c r="P4" s="30" t="s">
        <v>115</v>
      </c>
      <c r="Q4" s="47" t="s">
        <v>69</v>
      </c>
      <c r="R4" s="47"/>
      <c r="S4" s="47"/>
      <c r="U4" s="7" t="s">
        <v>48</v>
      </c>
      <c r="V4" s="35" t="s">
        <v>73</v>
      </c>
      <c r="W4" s="35"/>
      <c r="X4" s="35"/>
      <c r="Y4" s="24" t="s">
        <v>74</v>
      </c>
      <c r="Z4" s="23" t="s">
        <v>75</v>
      </c>
      <c r="AA4" s="23" t="s">
        <v>76</v>
      </c>
      <c r="AC4" s="47" t="s">
        <v>77</v>
      </c>
      <c r="AD4" s="47"/>
      <c r="AE4" s="47"/>
      <c r="AF4" s="47"/>
      <c r="AG4" s="47"/>
      <c r="AH4" s="47"/>
    </row>
    <row r="5" spans="1:34" ht="15.5" x14ac:dyDescent="0.35">
      <c r="A5" s="3"/>
      <c r="B5" s="3" t="s">
        <v>20</v>
      </c>
      <c r="C5" s="11"/>
      <c r="D5" s="3" t="s">
        <v>94</v>
      </c>
      <c r="E5" s="29">
        <v>1</v>
      </c>
      <c r="F5" s="29">
        <v>1</v>
      </c>
      <c r="H5" s="3" t="s">
        <v>94</v>
      </c>
      <c r="I5" s="29">
        <v>1</v>
      </c>
      <c r="J5" s="29">
        <v>1</v>
      </c>
      <c r="K5" s="29">
        <v>1</v>
      </c>
      <c r="L5" s="29">
        <v>1</v>
      </c>
      <c r="M5" s="29">
        <v>1</v>
      </c>
      <c r="N5" s="29">
        <v>1</v>
      </c>
      <c r="P5" s="3" t="str">
        <f>H5</f>
        <v>Mengembangkan inovasi produk</v>
      </c>
      <c r="Q5" s="30">
        <f>GEOMEAN(I5,L5)</f>
        <v>1</v>
      </c>
      <c r="R5" s="30">
        <f>GEOMEAN(J5,M5)</f>
        <v>1</v>
      </c>
      <c r="S5" s="30">
        <f>GEOMEAN(K5,N5)</f>
        <v>1</v>
      </c>
      <c r="U5" s="7" t="str">
        <f>P5</f>
        <v>Mengembangkan inovasi produk</v>
      </c>
      <c r="V5" s="23">
        <f>Q5*$Q$9</f>
        <v>0.5</v>
      </c>
      <c r="W5" s="23">
        <f>R5*$R$9</f>
        <v>0.5</v>
      </c>
      <c r="X5" s="23">
        <f>S5*$S$9</f>
        <v>0.5</v>
      </c>
      <c r="Y5" s="23">
        <f>AVERAGE(V5:X5)</f>
        <v>0.5</v>
      </c>
      <c r="Z5" s="23">
        <f>Y5/$Y$7</f>
        <v>0.5</v>
      </c>
      <c r="AA5" s="28">
        <f>Z5</f>
        <v>0.5</v>
      </c>
      <c r="AC5" s="48" t="s">
        <v>119</v>
      </c>
      <c r="AD5" s="48"/>
      <c r="AE5" s="48"/>
      <c r="AF5" s="48"/>
      <c r="AG5" s="48"/>
      <c r="AH5" s="48"/>
    </row>
    <row r="6" spans="1:34" ht="15.5" x14ac:dyDescent="0.35">
      <c r="A6" s="3" t="s">
        <v>94</v>
      </c>
      <c r="B6" s="3">
        <v>1</v>
      </c>
      <c r="C6" s="11"/>
      <c r="D6" s="3" t="s">
        <v>20</v>
      </c>
      <c r="E6" s="29">
        <v>1</v>
      </c>
      <c r="F6" s="29">
        <v>1</v>
      </c>
      <c r="H6" s="3" t="s">
        <v>20</v>
      </c>
      <c r="I6" s="29">
        <v>1</v>
      </c>
      <c r="J6" s="29">
        <v>1</v>
      </c>
      <c r="K6" s="29">
        <v>1</v>
      </c>
      <c r="L6" s="29">
        <v>1</v>
      </c>
      <c r="M6" s="29">
        <v>1</v>
      </c>
      <c r="N6" s="29">
        <v>1</v>
      </c>
      <c r="P6" s="3" t="str">
        <f>H6</f>
        <v>Menjaga kualitas</v>
      </c>
      <c r="Q6" s="30">
        <f>GEOMEAN(I6,L6)</f>
        <v>1</v>
      </c>
      <c r="R6" s="30">
        <f t="shared" ref="R6" si="0">GEOMEAN(J6,M6)</f>
        <v>1</v>
      </c>
      <c r="S6" s="30">
        <f>GEOMEAN(K6,N6)</f>
        <v>1</v>
      </c>
      <c r="U6" s="3" t="str">
        <f>P6</f>
        <v>Menjaga kualitas</v>
      </c>
      <c r="V6" s="23">
        <f>Q6*$Q$9</f>
        <v>0.5</v>
      </c>
      <c r="W6" s="23">
        <f>R6*$R$9</f>
        <v>0.5</v>
      </c>
      <c r="X6" s="23">
        <f>S6*$S$9</f>
        <v>0.5</v>
      </c>
      <c r="Y6" s="23">
        <f t="shared" ref="Y6" si="1">AVERAGE(V6:X6)</f>
        <v>0.5</v>
      </c>
      <c r="Z6" s="23">
        <f>Y6/$Y$7</f>
        <v>0.5</v>
      </c>
      <c r="AA6" s="28">
        <f t="shared" ref="AA6" si="2">Z6</f>
        <v>0.5</v>
      </c>
      <c r="AC6" s="48"/>
      <c r="AD6" s="48"/>
      <c r="AE6" s="48"/>
      <c r="AF6" s="48"/>
      <c r="AG6" s="48"/>
      <c r="AH6" s="48"/>
    </row>
    <row r="7" spans="1:34" ht="15.5" x14ac:dyDescent="0.35">
      <c r="A7" s="11"/>
      <c r="B7" s="11"/>
      <c r="C7" s="11"/>
      <c r="D7" s="11"/>
      <c r="P7" s="26" t="s">
        <v>70</v>
      </c>
      <c r="Q7" s="26">
        <f>SUM(Q5:Q6)</f>
        <v>2</v>
      </c>
      <c r="R7" s="26">
        <f t="shared" ref="R7:S7" si="3">SUM(R5:R6)</f>
        <v>2</v>
      </c>
      <c r="S7" s="26">
        <f t="shared" si="3"/>
        <v>2</v>
      </c>
      <c r="U7" s="26" t="s">
        <v>70</v>
      </c>
      <c r="V7" s="23"/>
      <c r="W7" s="23"/>
      <c r="X7" s="23"/>
      <c r="Y7" s="25">
        <f>SUM(Y5:Y6)</f>
        <v>1</v>
      </c>
      <c r="Z7" s="25">
        <f>SUM(Z5:Z6)</f>
        <v>1</v>
      </c>
      <c r="AA7" s="27">
        <f>SUM(AA5:AA6)</f>
        <v>1</v>
      </c>
      <c r="AC7" s="48"/>
      <c r="AD7" s="48"/>
      <c r="AE7" s="48"/>
      <c r="AF7" s="48"/>
      <c r="AG7" s="48"/>
      <c r="AH7" s="48"/>
    </row>
    <row r="8" spans="1:34" ht="15.5" x14ac:dyDescent="0.35">
      <c r="A8" s="31" t="s">
        <v>98</v>
      </c>
      <c r="B8" s="31"/>
      <c r="C8" s="11"/>
      <c r="D8" s="3"/>
      <c r="E8" s="3" t="s">
        <v>25</v>
      </c>
      <c r="F8" s="3" t="s">
        <v>26</v>
      </c>
      <c r="H8" s="3"/>
      <c r="I8" s="31" t="s">
        <v>25</v>
      </c>
      <c r="J8" s="31"/>
      <c r="K8" s="31"/>
      <c r="L8" s="31" t="s">
        <v>26</v>
      </c>
      <c r="M8" s="31"/>
      <c r="N8" s="31"/>
      <c r="P8" s="26" t="s">
        <v>71</v>
      </c>
      <c r="Q8" s="26">
        <f>1/Q7</f>
        <v>0.5</v>
      </c>
      <c r="R8" s="26">
        <f t="shared" ref="R8:S8" si="4">1/R7</f>
        <v>0.5</v>
      </c>
      <c r="S8" s="26">
        <f t="shared" si="4"/>
        <v>0.5</v>
      </c>
    </row>
    <row r="9" spans="1:34" ht="15.5" x14ac:dyDescent="0.35">
      <c r="A9" s="3"/>
      <c r="B9" s="3" t="s">
        <v>26</v>
      </c>
      <c r="C9" s="11"/>
      <c r="D9" s="3" t="s">
        <v>25</v>
      </c>
      <c r="E9" s="29">
        <v>1</v>
      </c>
      <c r="F9" s="29">
        <v>1</v>
      </c>
      <c r="H9" s="3" t="s">
        <v>25</v>
      </c>
      <c r="I9" s="29">
        <v>1</v>
      </c>
      <c r="J9" s="29">
        <v>1</v>
      </c>
      <c r="K9" s="29">
        <v>1</v>
      </c>
      <c r="L9" s="29">
        <v>1</v>
      </c>
      <c r="M9" s="29">
        <v>1</v>
      </c>
      <c r="N9" s="29">
        <v>1</v>
      </c>
      <c r="P9" s="26" t="s">
        <v>72</v>
      </c>
      <c r="Q9" s="26">
        <f>MIN(Q8:S8)</f>
        <v>0.5</v>
      </c>
      <c r="R9" s="26">
        <f>MEDIAN(Q8:S8)</f>
        <v>0.5</v>
      </c>
      <c r="S9" s="26">
        <f>MAX(Q8:S8)</f>
        <v>0.5</v>
      </c>
    </row>
    <row r="10" spans="1:34" x14ac:dyDescent="0.35">
      <c r="A10" s="3" t="s">
        <v>25</v>
      </c>
      <c r="B10" s="3">
        <v>1</v>
      </c>
      <c r="C10" s="11"/>
      <c r="D10" s="3" t="s">
        <v>26</v>
      </c>
      <c r="E10" s="29">
        <v>1</v>
      </c>
      <c r="F10" s="29">
        <v>1</v>
      </c>
      <c r="H10" s="3" t="s">
        <v>26</v>
      </c>
      <c r="I10" s="29">
        <v>1</v>
      </c>
      <c r="J10" s="29">
        <v>1</v>
      </c>
      <c r="K10" s="29">
        <v>1</v>
      </c>
      <c r="L10" s="29">
        <v>1</v>
      </c>
      <c r="M10" s="29">
        <v>1</v>
      </c>
      <c r="N10" s="29">
        <v>1</v>
      </c>
    </row>
    <row r="11" spans="1:34" ht="15.5" x14ac:dyDescent="0.35">
      <c r="A11" s="11"/>
      <c r="B11" s="11"/>
      <c r="C11" s="11"/>
      <c r="D11" s="11"/>
      <c r="P11" s="30" t="s">
        <v>115</v>
      </c>
      <c r="Q11" s="47" t="s">
        <v>69</v>
      </c>
      <c r="R11" s="47"/>
      <c r="S11" s="47"/>
      <c r="U11" s="7" t="s">
        <v>48</v>
      </c>
      <c r="V11" s="35" t="s">
        <v>73</v>
      </c>
      <c r="W11" s="35"/>
      <c r="X11" s="35"/>
      <c r="Y11" s="24" t="s">
        <v>74</v>
      </c>
      <c r="Z11" s="23" t="s">
        <v>75</v>
      </c>
      <c r="AA11" s="23" t="s">
        <v>76</v>
      </c>
      <c r="AC11" s="47" t="s">
        <v>77</v>
      </c>
      <c r="AD11" s="47"/>
      <c r="AE11" s="47"/>
      <c r="AF11" s="47"/>
      <c r="AG11" s="47"/>
      <c r="AH11" s="47"/>
    </row>
    <row r="12" spans="1:34" ht="15.5" customHeight="1" x14ac:dyDescent="0.35">
      <c r="A12" s="31" t="s">
        <v>100</v>
      </c>
      <c r="B12" s="31"/>
      <c r="C12" s="11"/>
      <c r="D12" s="3"/>
      <c r="E12" s="3" t="s">
        <v>31</v>
      </c>
      <c r="F12" s="3" t="s">
        <v>101</v>
      </c>
      <c r="H12" s="3"/>
      <c r="I12" s="31" t="s">
        <v>31</v>
      </c>
      <c r="J12" s="31"/>
      <c r="K12" s="31"/>
      <c r="L12" s="31" t="s">
        <v>101</v>
      </c>
      <c r="M12" s="31"/>
      <c r="N12" s="31"/>
      <c r="P12" s="3" t="str">
        <f>H9</f>
        <v>Memperluas saluran distribusi</v>
      </c>
      <c r="Q12" s="30">
        <f t="shared" ref="Q12:S13" si="5">GEOMEAN(I9,L9)</f>
        <v>1</v>
      </c>
      <c r="R12" s="30">
        <f t="shared" si="5"/>
        <v>1</v>
      </c>
      <c r="S12" s="30">
        <f t="shared" si="5"/>
        <v>1</v>
      </c>
      <c r="U12" s="7" t="str">
        <f>P12</f>
        <v>Memperluas saluran distribusi</v>
      </c>
      <c r="V12" s="23">
        <f>Q12*$Q$16</f>
        <v>0.5</v>
      </c>
      <c r="W12" s="23">
        <f>R12*$R$16</f>
        <v>0.5</v>
      </c>
      <c r="X12" s="23">
        <f>S12*$S$16</f>
        <v>0.5</v>
      </c>
      <c r="Y12" s="23">
        <f>AVERAGE(V12:X12)</f>
        <v>0.5</v>
      </c>
      <c r="Z12" s="23">
        <f>Y12/$Y$14</f>
        <v>0.5</v>
      </c>
      <c r="AA12" s="28">
        <f>Z12</f>
        <v>0.5</v>
      </c>
      <c r="AC12" s="48" t="s">
        <v>119</v>
      </c>
      <c r="AD12" s="48"/>
      <c r="AE12" s="48"/>
      <c r="AF12" s="48"/>
      <c r="AG12" s="48"/>
      <c r="AH12" s="48"/>
    </row>
    <row r="13" spans="1:34" ht="15.5" x14ac:dyDescent="0.35">
      <c r="A13" s="3"/>
      <c r="B13" s="3" t="s">
        <v>101</v>
      </c>
      <c r="C13" s="11"/>
      <c r="D13" s="3" t="s">
        <v>31</v>
      </c>
      <c r="E13" s="29">
        <v>1</v>
      </c>
      <c r="F13" s="29">
        <v>2</v>
      </c>
      <c r="H13" s="3" t="s">
        <v>31</v>
      </c>
      <c r="I13" s="29">
        <v>1</v>
      </c>
      <c r="J13" s="29">
        <v>1</v>
      </c>
      <c r="K13" s="29">
        <v>1</v>
      </c>
      <c r="L13" s="29">
        <v>2</v>
      </c>
      <c r="M13" s="29">
        <v>3</v>
      </c>
      <c r="N13" s="29">
        <v>4</v>
      </c>
      <c r="P13" s="3" t="str">
        <f>H10</f>
        <v>Tentukan target pasar</v>
      </c>
      <c r="Q13" s="30">
        <f t="shared" si="5"/>
        <v>1</v>
      </c>
      <c r="R13" s="30">
        <f t="shared" si="5"/>
        <v>1</v>
      </c>
      <c r="S13" s="30">
        <f t="shared" si="5"/>
        <v>1</v>
      </c>
      <c r="U13" s="3" t="str">
        <f>P13</f>
        <v>Tentukan target pasar</v>
      </c>
      <c r="V13" s="23">
        <f>Q13*$Q$16</f>
        <v>0.5</v>
      </c>
      <c r="W13" s="23">
        <f>R13*$R$16</f>
        <v>0.5</v>
      </c>
      <c r="X13" s="23">
        <f>S13*$S$16</f>
        <v>0.5</v>
      </c>
      <c r="Y13" s="23">
        <f t="shared" ref="Y13" si="6">AVERAGE(V13:X13)</f>
        <v>0.5</v>
      </c>
      <c r="Z13" s="23">
        <f>Y13/$Y$14</f>
        <v>0.5</v>
      </c>
      <c r="AA13" s="28">
        <f t="shared" ref="AA13" si="7">Z13</f>
        <v>0.5</v>
      </c>
      <c r="AC13" s="48"/>
      <c r="AD13" s="48"/>
      <c r="AE13" s="48"/>
      <c r="AF13" s="48"/>
      <c r="AG13" s="48"/>
      <c r="AH13" s="48"/>
    </row>
    <row r="14" spans="1:34" ht="15.5" x14ac:dyDescent="0.35">
      <c r="A14" s="3" t="s">
        <v>31</v>
      </c>
      <c r="B14" s="3">
        <v>2</v>
      </c>
      <c r="C14" s="11"/>
      <c r="D14" s="3" t="s">
        <v>101</v>
      </c>
      <c r="E14" s="29">
        <f>1/F13</f>
        <v>0.5</v>
      </c>
      <c r="F14" s="29">
        <v>1</v>
      </c>
      <c r="H14" s="3" t="s">
        <v>101</v>
      </c>
      <c r="I14" s="29">
        <f>1/L13</f>
        <v>0.5</v>
      </c>
      <c r="J14" s="29">
        <f t="shared" ref="J14:K14" si="8">1/M13</f>
        <v>0.33333333333333331</v>
      </c>
      <c r="K14" s="29">
        <f t="shared" si="8"/>
        <v>0.25</v>
      </c>
      <c r="L14" s="29">
        <v>1</v>
      </c>
      <c r="M14" s="29">
        <v>1</v>
      </c>
      <c r="N14" s="29">
        <v>1</v>
      </c>
      <c r="P14" s="26" t="s">
        <v>70</v>
      </c>
      <c r="Q14" s="26">
        <f>SUM(Q12:Q13)</f>
        <v>2</v>
      </c>
      <c r="R14" s="26">
        <f t="shared" ref="R14" si="9">SUM(R12:R13)</f>
        <v>2</v>
      </c>
      <c r="S14" s="26">
        <f t="shared" ref="S14" si="10">SUM(S12:S13)</f>
        <v>2</v>
      </c>
      <c r="U14" s="26" t="s">
        <v>70</v>
      </c>
      <c r="V14" s="23"/>
      <c r="W14" s="23"/>
      <c r="X14" s="23"/>
      <c r="Y14" s="25">
        <f>SUM(Y12:Y13)</f>
        <v>1</v>
      </c>
      <c r="Z14" s="25">
        <f>SUM(Z12:Z13)</f>
        <v>1</v>
      </c>
      <c r="AA14" s="27">
        <f>SUM(AA12:AA13)</f>
        <v>1</v>
      </c>
      <c r="AC14" s="48"/>
      <c r="AD14" s="48"/>
      <c r="AE14" s="48"/>
      <c r="AF14" s="48"/>
      <c r="AG14" s="48"/>
      <c r="AH14" s="48"/>
    </row>
    <row r="15" spans="1:34" ht="15.5" x14ac:dyDescent="0.35">
      <c r="A15" s="11"/>
      <c r="B15" s="11"/>
      <c r="C15" s="11"/>
      <c r="D15" s="11"/>
      <c r="E15" s="11"/>
      <c r="F15" s="11"/>
      <c r="P15" s="26" t="s">
        <v>71</v>
      </c>
      <c r="Q15" s="26">
        <f>1/Q14</f>
        <v>0.5</v>
      </c>
      <c r="R15" s="26">
        <f t="shared" ref="R15:S15" si="11">1/R14</f>
        <v>0.5</v>
      </c>
      <c r="S15" s="26">
        <f t="shared" si="11"/>
        <v>0.5</v>
      </c>
    </row>
    <row r="16" spans="1:34" ht="15.5" x14ac:dyDescent="0.35">
      <c r="A16" s="31" t="s">
        <v>88</v>
      </c>
      <c r="B16" s="31"/>
      <c r="C16" s="11"/>
      <c r="D16" s="3"/>
      <c r="E16" s="3" t="s">
        <v>102</v>
      </c>
      <c r="F16" s="3" t="s">
        <v>103</v>
      </c>
      <c r="H16" s="3"/>
      <c r="I16" s="31" t="s">
        <v>102</v>
      </c>
      <c r="J16" s="31"/>
      <c r="K16" s="31"/>
      <c r="L16" s="31" t="s">
        <v>103</v>
      </c>
      <c r="M16" s="31"/>
      <c r="N16" s="31"/>
      <c r="P16" s="26" t="s">
        <v>72</v>
      </c>
      <c r="Q16" s="26">
        <f>MIN(Q15:S15)</f>
        <v>0.5</v>
      </c>
      <c r="R16" s="26">
        <f>MEDIAN(Q15:S15)</f>
        <v>0.5</v>
      </c>
      <c r="S16" s="26">
        <f>MAX(Q15:S15)</f>
        <v>0.5</v>
      </c>
    </row>
    <row r="17" spans="1:34" x14ac:dyDescent="0.35">
      <c r="A17" s="3"/>
      <c r="B17" s="3" t="s">
        <v>103</v>
      </c>
      <c r="C17" s="11"/>
      <c r="D17" s="3" t="s">
        <v>102</v>
      </c>
      <c r="E17" s="29">
        <v>1</v>
      </c>
      <c r="F17" s="29">
        <v>1</v>
      </c>
      <c r="H17" s="3" t="s">
        <v>102</v>
      </c>
      <c r="I17" s="29">
        <v>1</v>
      </c>
      <c r="J17" s="29">
        <v>1</v>
      </c>
      <c r="K17" s="29">
        <v>1</v>
      </c>
      <c r="L17" s="29">
        <v>1</v>
      </c>
      <c r="M17" s="29">
        <v>1</v>
      </c>
      <c r="N17" s="29">
        <v>1</v>
      </c>
    </row>
    <row r="18" spans="1:34" ht="15.5" x14ac:dyDescent="0.35">
      <c r="A18" s="3" t="s">
        <v>102</v>
      </c>
      <c r="B18" s="3">
        <v>1</v>
      </c>
      <c r="C18" s="11"/>
      <c r="D18" s="3" t="s">
        <v>103</v>
      </c>
      <c r="E18" s="29">
        <v>1</v>
      </c>
      <c r="F18" s="29">
        <v>1</v>
      </c>
      <c r="H18" s="3" t="s">
        <v>103</v>
      </c>
      <c r="I18" s="29">
        <v>1</v>
      </c>
      <c r="J18" s="29">
        <v>1</v>
      </c>
      <c r="K18" s="29">
        <v>1</v>
      </c>
      <c r="L18" s="29">
        <v>1</v>
      </c>
      <c r="M18" s="29">
        <v>1</v>
      </c>
      <c r="N18" s="29">
        <v>1</v>
      </c>
      <c r="P18" s="30" t="s">
        <v>115</v>
      </c>
      <c r="Q18" s="47" t="s">
        <v>69</v>
      </c>
      <c r="R18" s="47"/>
      <c r="S18" s="47"/>
      <c r="U18" s="7" t="s">
        <v>48</v>
      </c>
      <c r="V18" s="35" t="s">
        <v>73</v>
      </c>
      <c r="W18" s="35"/>
      <c r="X18" s="35"/>
      <c r="Y18" s="24" t="s">
        <v>74</v>
      </c>
      <c r="Z18" s="23" t="s">
        <v>75</v>
      </c>
      <c r="AA18" s="23" t="s">
        <v>76</v>
      </c>
      <c r="AC18" s="47" t="s">
        <v>77</v>
      </c>
      <c r="AD18" s="47"/>
      <c r="AE18" s="47"/>
      <c r="AF18" s="47"/>
      <c r="AG18" s="47"/>
      <c r="AH18" s="47"/>
    </row>
    <row r="19" spans="1:34" ht="15.5" x14ac:dyDescent="0.35">
      <c r="P19" s="3" t="str">
        <f>H13</f>
        <v>Memenuhi kebutuhan pelanggan</v>
      </c>
      <c r="Q19" s="30">
        <f>GEOMEAN(I13,L13)</f>
        <v>1.4142135623730949</v>
      </c>
      <c r="R19" s="30">
        <f t="shared" ref="R19:S19" si="12">GEOMEAN(J13,M13)</f>
        <v>1.7320508075688774</v>
      </c>
      <c r="S19" s="30">
        <f t="shared" si="12"/>
        <v>2</v>
      </c>
      <c r="U19" s="7" t="str">
        <f>P19</f>
        <v>Memenuhi kebutuhan pelanggan</v>
      </c>
      <c r="V19" s="23">
        <f>Q19*$Q$23</f>
        <v>0.56568542494923801</v>
      </c>
      <c r="W19" s="23">
        <f>R19*$R$23</f>
        <v>0.75000000000000011</v>
      </c>
      <c r="X19" s="23">
        <f>S19*$S$23</f>
        <v>0.94280904158206347</v>
      </c>
      <c r="Y19" s="23">
        <f>AVERAGE(V19:X19)</f>
        <v>0.75283148884376727</v>
      </c>
      <c r="Z19" s="23">
        <f>Y19/$Y$21</f>
        <v>0.74610671969899856</v>
      </c>
      <c r="AA19" s="28">
        <f>Z19</f>
        <v>0.74610671969899856</v>
      </c>
      <c r="AC19" s="48" t="s">
        <v>118</v>
      </c>
      <c r="AD19" s="48"/>
      <c r="AE19" s="48"/>
      <c r="AF19" s="48"/>
      <c r="AG19" s="48"/>
      <c r="AH19" s="48"/>
    </row>
    <row r="20" spans="1:34" ht="15.5" x14ac:dyDescent="0.35">
      <c r="A20" s="31" t="s">
        <v>83</v>
      </c>
      <c r="B20" s="31"/>
      <c r="C20" s="11"/>
      <c r="D20" s="3"/>
      <c r="E20" s="3" t="s">
        <v>96</v>
      </c>
      <c r="F20" s="3" t="s">
        <v>97</v>
      </c>
      <c r="H20" s="3"/>
      <c r="I20" s="31" t="s">
        <v>96</v>
      </c>
      <c r="J20" s="31"/>
      <c r="K20" s="31"/>
      <c r="L20" s="31" t="s">
        <v>116</v>
      </c>
      <c r="M20" s="31"/>
      <c r="N20" s="31"/>
      <c r="P20" s="3" t="str">
        <f>H14</f>
        <v>Melakukan proses secara kontinyu</v>
      </c>
      <c r="Q20" s="30">
        <f>GEOMEAN(I14,L14)</f>
        <v>0.70710678118654757</v>
      </c>
      <c r="R20" s="30">
        <f t="shared" ref="R20" si="13">GEOMEAN(J14,M14)</f>
        <v>0.57735026918962573</v>
      </c>
      <c r="S20" s="30">
        <f t="shared" ref="S20" si="14">GEOMEAN(K14,N14)</f>
        <v>0.5</v>
      </c>
      <c r="U20" s="3" t="str">
        <f>P20</f>
        <v>Melakukan proses secara kontinyu</v>
      </c>
      <c r="V20" s="23">
        <f>Q20*$Q$23</f>
        <v>0.28284271247461906</v>
      </c>
      <c r="W20" s="23">
        <f>R20*$R$23</f>
        <v>0.25</v>
      </c>
      <c r="X20" s="23">
        <f>S20*$S$23</f>
        <v>0.23570226039551587</v>
      </c>
      <c r="Y20" s="23">
        <f t="shared" ref="Y20" si="15">AVERAGE(V20:X20)</f>
        <v>0.25618165762337836</v>
      </c>
      <c r="Z20" s="23">
        <f>Y20/$Y$21</f>
        <v>0.25389328030100133</v>
      </c>
      <c r="AA20" s="28">
        <f t="shared" ref="AA20" si="16">Z20</f>
        <v>0.25389328030100133</v>
      </c>
      <c r="AC20" s="48"/>
      <c r="AD20" s="48"/>
      <c r="AE20" s="48"/>
      <c r="AF20" s="48"/>
      <c r="AG20" s="48"/>
      <c r="AH20" s="48"/>
    </row>
    <row r="21" spans="1:34" ht="15.5" x14ac:dyDescent="0.35">
      <c r="A21" s="3"/>
      <c r="B21" s="3" t="s">
        <v>97</v>
      </c>
      <c r="C21" s="11"/>
      <c r="D21" s="3" t="s">
        <v>96</v>
      </c>
      <c r="E21" s="29">
        <v>1</v>
      </c>
      <c r="F21" s="29">
        <v>2</v>
      </c>
      <c r="H21" s="3" t="s">
        <v>96</v>
      </c>
      <c r="I21" s="29">
        <v>1</v>
      </c>
      <c r="J21" s="29">
        <v>1</v>
      </c>
      <c r="K21" s="29">
        <v>1</v>
      </c>
      <c r="L21" s="29">
        <v>2</v>
      </c>
      <c r="M21" s="29">
        <v>3</v>
      </c>
      <c r="N21" s="29">
        <v>4</v>
      </c>
      <c r="P21" s="26" t="s">
        <v>70</v>
      </c>
      <c r="Q21" s="26">
        <f>SUM(Q19:Q20)</f>
        <v>2.1213203435596424</v>
      </c>
      <c r="R21" s="26">
        <f t="shared" ref="R21" si="17">SUM(R19:R20)</f>
        <v>2.3094010767585029</v>
      </c>
      <c r="S21" s="26">
        <f t="shared" ref="S21" si="18">SUM(S19:S20)</f>
        <v>2.5</v>
      </c>
      <c r="U21" s="26" t="s">
        <v>70</v>
      </c>
      <c r="V21" s="23"/>
      <c r="W21" s="23"/>
      <c r="X21" s="23"/>
      <c r="Y21" s="25">
        <f>SUM(Y19:Y20)</f>
        <v>1.0090131464671457</v>
      </c>
      <c r="Z21" s="25">
        <f>SUM(Z19:Z20)</f>
        <v>0.99999999999999989</v>
      </c>
      <c r="AA21" s="27">
        <f>SUM(AA19:AA20)</f>
        <v>0.99999999999999989</v>
      </c>
      <c r="AC21" s="48"/>
      <c r="AD21" s="48"/>
      <c r="AE21" s="48"/>
      <c r="AF21" s="48"/>
      <c r="AG21" s="48"/>
      <c r="AH21" s="48"/>
    </row>
    <row r="22" spans="1:34" ht="15.5" x14ac:dyDescent="0.35">
      <c r="A22" s="3" t="s">
        <v>96</v>
      </c>
      <c r="B22" s="3">
        <v>2</v>
      </c>
      <c r="C22" s="11"/>
      <c r="D22" s="3" t="s">
        <v>97</v>
      </c>
      <c r="E22" s="29">
        <f>1/F21</f>
        <v>0.5</v>
      </c>
      <c r="F22" s="29">
        <v>1</v>
      </c>
      <c r="H22" s="3" t="s">
        <v>97</v>
      </c>
      <c r="I22" s="29">
        <f>1/L21</f>
        <v>0.5</v>
      </c>
      <c r="J22" s="29">
        <f t="shared" ref="J22:K22" si="19">1/M21</f>
        <v>0.33333333333333331</v>
      </c>
      <c r="K22" s="29">
        <f t="shared" si="19"/>
        <v>0.25</v>
      </c>
      <c r="L22" s="29">
        <v>1</v>
      </c>
      <c r="M22" s="29">
        <v>1</v>
      </c>
      <c r="N22" s="29">
        <v>1</v>
      </c>
      <c r="P22" s="26" t="s">
        <v>71</v>
      </c>
      <c r="Q22" s="26">
        <f>1/Q21</f>
        <v>0.47140452079103173</v>
      </c>
      <c r="R22" s="26">
        <f t="shared" ref="R22:S22" si="20">1/R21</f>
        <v>0.43301270189221935</v>
      </c>
      <c r="S22" s="26">
        <f t="shared" si="20"/>
        <v>0.4</v>
      </c>
    </row>
    <row r="23" spans="1:34" ht="15.5" x14ac:dyDescent="0.35">
      <c r="A23" s="11"/>
      <c r="B23" s="11"/>
      <c r="C23" s="11"/>
      <c r="P23" s="26" t="s">
        <v>72</v>
      </c>
      <c r="Q23" s="26">
        <f>MIN(Q22:S22)</f>
        <v>0.4</v>
      </c>
      <c r="R23" s="26">
        <f>MEDIAN(Q22:S22)</f>
        <v>0.43301270189221935</v>
      </c>
      <c r="S23" s="26">
        <f>MAX(Q22:S22)</f>
        <v>0.47140452079103173</v>
      </c>
    </row>
    <row r="24" spans="1:34" x14ac:dyDescent="0.35">
      <c r="A24" s="31" t="s">
        <v>85</v>
      </c>
      <c r="B24" s="31"/>
      <c r="C24" s="11"/>
      <c r="D24" s="3"/>
      <c r="E24" s="3" t="s">
        <v>99</v>
      </c>
      <c r="F24" s="3" t="s">
        <v>29</v>
      </c>
      <c r="H24" s="3"/>
      <c r="I24" s="31" t="s">
        <v>99</v>
      </c>
      <c r="J24" s="31"/>
      <c r="K24" s="31"/>
      <c r="L24" s="31" t="s">
        <v>29</v>
      </c>
      <c r="M24" s="31"/>
      <c r="N24" s="31"/>
    </row>
    <row r="25" spans="1:34" ht="15.5" x14ac:dyDescent="0.35">
      <c r="A25" s="3"/>
      <c r="B25" s="3" t="s">
        <v>29</v>
      </c>
      <c r="C25" s="11"/>
      <c r="D25" s="3" t="s">
        <v>99</v>
      </c>
      <c r="E25" s="29">
        <v>1</v>
      </c>
      <c r="F25" s="29">
        <v>1</v>
      </c>
      <c r="H25" s="3" t="s">
        <v>99</v>
      </c>
      <c r="I25" s="29">
        <v>1</v>
      </c>
      <c r="J25" s="29">
        <v>1</v>
      </c>
      <c r="K25" s="29">
        <v>1</v>
      </c>
      <c r="L25" s="29">
        <v>1</v>
      </c>
      <c r="M25" s="29">
        <v>1</v>
      </c>
      <c r="N25" s="29">
        <v>1</v>
      </c>
      <c r="P25" s="30" t="s">
        <v>115</v>
      </c>
      <c r="Q25" s="47" t="s">
        <v>69</v>
      </c>
      <c r="R25" s="47"/>
      <c r="S25" s="47"/>
      <c r="U25" s="7" t="s">
        <v>48</v>
      </c>
      <c r="V25" s="35" t="s">
        <v>73</v>
      </c>
      <c r="W25" s="35"/>
      <c r="X25" s="35"/>
      <c r="Y25" s="24" t="s">
        <v>74</v>
      </c>
      <c r="Z25" s="23" t="s">
        <v>75</v>
      </c>
      <c r="AA25" s="23" t="s">
        <v>76</v>
      </c>
      <c r="AC25" s="47" t="s">
        <v>77</v>
      </c>
      <c r="AD25" s="47"/>
      <c r="AE25" s="47"/>
      <c r="AF25" s="47"/>
      <c r="AG25" s="47"/>
      <c r="AH25" s="47"/>
    </row>
    <row r="26" spans="1:34" ht="15.5" customHeight="1" x14ac:dyDescent="0.35">
      <c r="A26" s="3" t="s">
        <v>99</v>
      </c>
      <c r="B26" s="3">
        <v>1</v>
      </c>
      <c r="C26" s="11"/>
      <c r="D26" s="3" t="s">
        <v>29</v>
      </c>
      <c r="E26" s="29">
        <v>1</v>
      </c>
      <c r="F26" s="29">
        <v>1</v>
      </c>
      <c r="H26" s="3" t="s">
        <v>29</v>
      </c>
      <c r="I26" s="29">
        <v>1</v>
      </c>
      <c r="J26" s="29">
        <v>1</v>
      </c>
      <c r="K26" s="29">
        <v>1</v>
      </c>
      <c r="L26" s="29">
        <v>1</v>
      </c>
      <c r="M26" s="29">
        <v>1</v>
      </c>
      <c r="N26" s="29">
        <v>1</v>
      </c>
      <c r="P26" s="3" t="str">
        <f>H17</f>
        <v>Perusahaan sudah legalitas</v>
      </c>
      <c r="Q26" s="30">
        <f>GEOMEAN(I17,L17)</f>
        <v>1</v>
      </c>
      <c r="R26" s="30">
        <f t="shared" ref="R26:S26" si="21">GEOMEAN(J17,M17)</f>
        <v>1</v>
      </c>
      <c r="S26" s="30">
        <f t="shared" si="21"/>
        <v>1</v>
      </c>
      <c r="U26" s="7" t="str">
        <f>P26</f>
        <v>Perusahaan sudah legalitas</v>
      </c>
      <c r="V26" s="23">
        <f>Q26*$Q$30</f>
        <v>0.5</v>
      </c>
      <c r="W26" s="23">
        <f>R26*$R$30</f>
        <v>0.5</v>
      </c>
      <c r="X26" s="23">
        <f>S26*$S$30</f>
        <v>0.5</v>
      </c>
      <c r="Y26" s="23">
        <f>AVERAGE(V26:X26)</f>
        <v>0.5</v>
      </c>
      <c r="Z26" s="23">
        <f>Y26/$Y$28</f>
        <v>0.5</v>
      </c>
      <c r="AA26" s="28">
        <f>Z26</f>
        <v>0.5</v>
      </c>
      <c r="AC26" s="48" t="s">
        <v>119</v>
      </c>
      <c r="AD26" s="48"/>
      <c r="AE26" s="48"/>
      <c r="AF26" s="48"/>
      <c r="AG26" s="48"/>
      <c r="AH26" s="48"/>
    </row>
    <row r="27" spans="1:34" ht="15.5" x14ac:dyDescent="0.35">
      <c r="A27" s="11"/>
      <c r="B27" s="11"/>
      <c r="C27" s="11"/>
      <c r="P27" s="3" t="str">
        <f>H18</f>
        <v>Sudah bersertifikasi</v>
      </c>
      <c r="Q27" s="30">
        <f>GEOMEAN(I18,L18)</f>
        <v>1</v>
      </c>
      <c r="R27" s="30">
        <f t="shared" ref="R27" si="22">GEOMEAN(J18,M18)</f>
        <v>1</v>
      </c>
      <c r="S27" s="30">
        <f t="shared" ref="S27" si="23">GEOMEAN(K18,N18)</f>
        <v>1</v>
      </c>
      <c r="U27" s="3" t="str">
        <f>P27</f>
        <v>Sudah bersertifikasi</v>
      </c>
      <c r="V27" s="23">
        <f>Q27*$Q$30</f>
        <v>0.5</v>
      </c>
      <c r="W27" s="23">
        <f>R27*$R$30</f>
        <v>0.5</v>
      </c>
      <c r="X27" s="23">
        <f>S27*$S$30</f>
        <v>0.5</v>
      </c>
      <c r="Y27" s="23">
        <f t="shared" ref="Y27" si="24">AVERAGE(V27:X27)</f>
        <v>0.5</v>
      </c>
      <c r="Z27" s="23">
        <f>Y27/$Y$28</f>
        <v>0.5</v>
      </c>
      <c r="AA27" s="28">
        <f t="shared" ref="AA27" si="25">Z27</f>
        <v>0.5</v>
      </c>
      <c r="AC27" s="48"/>
      <c r="AD27" s="48"/>
      <c r="AE27" s="48"/>
      <c r="AF27" s="48"/>
      <c r="AG27" s="48"/>
      <c r="AH27" s="48"/>
    </row>
    <row r="28" spans="1:34" ht="15.5" x14ac:dyDescent="0.35">
      <c r="A28" s="31" t="s">
        <v>87</v>
      </c>
      <c r="B28" s="31"/>
      <c r="C28" s="11"/>
      <c r="D28" s="3"/>
      <c r="E28" s="3" t="s">
        <v>34</v>
      </c>
      <c r="F28" s="3" t="s">
        <v>35</v>
      </c>
      <c r="H28" s="3"/>
      <c r="I28" s="31" t="s">
        <v>34</v>
      </c>
      <c r="J28" s="31"/>
      <c r="K28" s="31"/>
      <c r="L28" s="31" t="s">
        <v>35</v>
      </c>
      <c r="M28" s="31"/>
      <c r="N28" s="31"/>
      <c r="P28" s="26" t="s">
        <v>70</v>
      </c>
      <c r="Q28" s="26">
        <f>SUM(Q26:Q27)</f>
        <v>2</v>
      </c>
      <c r="R28" s="26">
        <f t="shared" ref="R28" si="26">SUM(R26:R27)</f>
        <v>2</v>
      </c>
      <c r="S28" s="26">
        <f t="shared" ref="S28" si="27">SUM(S26:S27)</f>
        <v>2</v>
      </c>
      <c r="U28" s="26" t="s">
        <v>70</v>
      </c>
      <c r="V28" s="23"/>
      <c r="W28" s="23"/>
      <c r="X28" s="23"/>
      <c r="Y28" s="25">
        <f>SUM(Y26:Y27)</f>
        <v>1</v>
      </c>
      <c r="Z28" s="25">
        <f>SUM(Z26:Z27)</f>
        <v>1</v>
      </c>
      <c r="AA28" s="27">
        <f>SUM(AA26:AA27)</f>
        <v>1</v>
      </c>
      <c r="AC28" s="48"/>
      <c r="AD28" s="48"/>
      <c r="AE28" s="48"/>
      <c r="AF28" s="48"/>
      <c r="AG28" s="48"/>
      <c r="AH28" s="48"/>
    </row>
    <row r="29" spans="1:34" ht="15.5" x14ac:dyDescent="0.35">
      <c r="A29" s="3"/>
      <c r="B29" s="3" t="s">
        <v>35</v>
      </c>
      <c r="C29" s="11"/>
      <c r="D29" s="3" t="s">
        <v>34</v>
      </c>
      <c r="E29" s="29">
        <v>1</v>
      </c>
      <c r="F29" s="29">
        <v>1</v>
      </c>
      <c r="H29" s="3" t="s">
        <v>34</v>
      </c>
      <c r="I29" s="29">
        <v>1</v>
      </c>
      <c r="J29" s="29">
        <v>1</v>
      </c>
      <c r="K29" s="29">
        <v>1</v>
      </c>
      <c r="L29" s="29">
        <v>1</v>
      </c>
      <c r="M29" s="29">
        <v>1</v>
      </c>
      <c r="N29" s="29">
        <v>1</v>
      </c>
      <c r="P29" s="26" t="s">
        <v>71</v>
      </c>
      <c r="Q29" s="26">
        <f>1/Q28</f>
        <v>0.5</v>
      </c>
      <c r="R29" s="26">
        <f t="shared" ref="R29:S29" si="28">1/R28</f>
        <v>0.5</v>
      </c>
      <c r="S29" s="26">
        <f t="shared" si="28"/>
        <v>0.5</v>
      </c>
    </row>
    <row r="30" spans="1:34" ht="15.5" x14ac:dyDescent="0.35">
      <c r="A30" s="3" t="s">
        <v>34</v>
      </c>
      <c r="B30" s="3">
        <v>1</v>
      </c>
      <c r="C30" s="11"/>
      <c r="D30" s="3" t="s">
        <v>35</v>
      </c>
      <c r="E30" s="29">
        <v>1</v>
      </c>
      <c r="F30" s="29">
        <v>1</v>
      </c>
      <c r="H30" s="3" t="s">
        <v>35</v>
      </c>
      <c r="I30" s="29">
        <v>1</v>
      </c>
      <c r="J30" s="29">
        <v>1</v>
      </c>
      <c r="K30" s="29">
        <v>1</v>
      </c>
      <c r="L30" s="29">
        <v>1</v>
      </c>
      <c r="M30" s="29">
        <v>1</v>
      </c>
      <c r="N30" s="29">
        <v>1</v>
      </c>
      <c r="P30" s="26" t="s">
        <v>72</v>
      </c>
      <c r="Q30" s="26">
        <f>MIN(Q29:S29)</f>
        <v>0.5</v>
      </c>
      <c r="R30" s="26">
        <f>MEDIAN(Q29:S29)</f>
        <v>0.5</v>
      </c>
      <c r="S30" s="26">
        <f>MAX(Q29:S29)</f>
        <v>0.5</v>
      </c>
    </row>
    <row r="32" spans="1:34" ht="15.5" x14ac:dyDescent="0.35">
      <c r="P32" s="30" t="s">
        <v>115</v>
      </c>
      <c r="Q32" s="47" t="s">
        <v>69</v>
      </c>
      <c r="R32" s="47"/>
      <c r="S32" s="47"/>
      <c r="U32" s="7" t="s">
        <v>48</v>
      </c>
      <c r="V32" s="35" t="s">
        <v>73</v>
      </c>
      <c r="W32" s="35"/>
      <c r="X32" s="35"/>
      <c r="Y32" s="24" t="s">
        <v>74</v>
      </c>
      <c r="Z32" s="23" t="s">
        <v>75</v>
      </c>
      <c r="AA32" s="23" t="s">
        <v>76</v>
      </c>
      <c r="AC32" s="47" t="s">
        <v>77</v>
      </c>
      <c r="AD32" s="47"/>
      <c r="AE32" s="47"/>
      <c r="AF32" s="47"/>
      <c r="AG32" s="47"/>
      <c r="AH32" s="47"/>
    </row>
    <row r="33" spans="16:34" ht="15.5" x14ac:dyDescent="0.35">
      <c r="P33" s="3" t="str">
        <f>H21</f>
        <v>Melakukan riset pasar</v>
      </c>
      <c r="Q33" s="30">
        <f>GEOMEAN(I21,L21)</f>
        <v>1.4142135623730949</v>
      </c>
      <c r="R33" s="30">
        <f t="shared" ref="R33:S33" si="29">GEOMEAN(J21,M21)</f>
        <v>1.7320508075688774</v>
      </c>
      <c r="S33" s="30">
        <f t="shared" si="29"/>
        <v>2</v>
      </c>
      <c r="U33" s="7" t="str">
        <f>P33</f>
        <v>Melakukan riset pasar</v>
      </c>
      <c r="V33" s="23">
        <f>Q33*$Q$37</f>
        <v>0.56568542494923801</v>
      </c>
      <c r="W33" s="23">
        <f>R33*$R$37</f>
        <v>0.75000000000000011</v>
      </c>
      <c r="X33" s="23">
        <f>S33*$S$37</f>
        <v>0.94280904158206347</v>
      </c>
      <c r="Y33" s="23">
        <f>AVERAGE(V33:X33)</f>
        <v>0.75283148884376727</v>
      </c>
      <c r="Z33" s="23">
        <f>Y33/$Y$35</f>
        <v>0.74610671969899856</v>
      </c>
      <c r="AA33" s="28">
        <f>Z33</f>
        <v>0.74610671969899856</v>
      </c>
      <c r="AC33" s="48" t="s">
        <v>117</v>
      </c>
      <c r="AD33" s="48"/>
      <c r="AE33" s="48"/>
      <c r="AF33" s="48"/>
      <c r="AG33" s="48"/>
      <c r="AH33" s="48"/>
    </row>
    <row r="34" spans="16:34" ht="15.5" x14ac:dyDescent="0.35">
      <c r="P34" s="3" t="str">
        <f>H22</f>
        <v>menetapkan harga di bawah harga pokok</v>
      </c>
      <c r="Q34" s="30">
        <f>GEOMEAN(I22,L22)</f>
        <v>0.70710678118654757</v>
      </c>
      <c r="R34" s="30">
        <f t="shared" ref="R34" si="30">GEOMEAN(J22,M22)</f>
        <v>0.57735026918962573</v>
      </c>
      <c r="S34" s="30">
        <f t="shared" ref="S34" si="31">GEOMEAN(K22,N22)</f>
        <v>0.5</v>
      </c>
      <c r="U34" s="3" t="str">
        <f>P34</f>
        <v>menetapkan harga di bawah harga pokok</v>
      </c>
      <c r="V34" s="23">
        <f>Q34*$Q$37</f>
        <v>0.28284271247461906</v>
      </c>
      <c r="W34" s="23">
        <f>R34*$R$37</f>
        <v>0.25</v>
      </c>
      <c r="X34" s="23">
        <f>S34*$S$37</f>
        <v>0.23570226039551587</v>
      </c>
      <c r="Y34" s="23">
        <f t="shared" ref="Y34" si="32">AVERAGE(V34:X34)</f>
        <v>0.25618165762337836</v>
      </c>
      <c r="Z34" s="23">
        <f>Y34/$Y$35</f>
        <v>0.25389328030100133</v>
      </c>
      <c r="AA34" s="28">
        <f t="shared" ref="AA34" si="33">Z34</f>
        <v>0.25389328030100133</v>
      </c>
      <c r="AC34" s="48"/>
      <c r="AD34" s="48"/>
      <c r="AE34" s="48"/>
      <c r="AF34" s="48"/>
      <c r="AG34" s="48"/>
      <c r="AH34" s="48"/>
    </row>
    <row r="35" spans="16:34" ht="15.5" x14ac:dyDescent="0.35">
      <c r="P35" s="26" t="s">
        <v>70</v>
      </c>
      <c r="Q35" s="26">
        <f>SUM(Q33:Q34)</f>
        <v>2.1213203435596424</v>
      </c>
      <c r="R35" s="26">
        <f t="shared" ref="R35" si="34">SUM(R33:R34)</f>
        <v>2.3094010767585029</v>
      </c>
      <c r="S35" s="26">
        <f t="shared" ref="S35" si="35">SUM(S33:S34)</f>
        <v>2.5</v>
      </c>
      <c r="U35" s="26" t="s">
        <v>70</v>
      </c>
      <c r="V35" s="23"/>
      <c r="W35" s="23"/>
      <c r="X35" s="23"/>
      <c r="Y35" s="25">
        <f>SUM(Y33:Y34)</f>
        <v>1.0090131464671457</v>
      </c>
      <c r="Z35" s="25">
        <f>SUM(Z33:Z34)</f>
        <v>0.99999999999999989</v>
      </c>
      <c r="AA35" s="27">
        <f>SUM(AA33:AA34)</f>
        <v>0.99999999999999989</v>
      </c>
      <c r="AC35" s="48"/>
      <c r="AD35" s="48"/>
      <c r="AE35" s="48"/>
      <c r="AF35" s="48"/>
      <c r="AG35" s="48"/>
      <c r="AH35" s="48"/>
    </row>
    <row r="36" spans="16:34" ht="15.5" x14ac:dyDescent="0.35">
      <c r="P36" s="26" t="s">
        <v>71</v>
      </c>
      <c r="Q36" s="26">
        <f>1/Q35</f>
        <v>0.47140452079103173</v>
      </c>
      <c r="R36" s="26">
        <f t="shared" ref="R36:S36" si="36">1/R35</f>
        <v>0.43301270189221935</v>
      </c>
      <c r="S36" s="26">
        <f t="shared" si="36"/>
        <v>0.4</v>
      </c>
    </row>
    <row r="37" spans="16:34" ht="15.5" x14ac:dyDescent="0.35">
      <c r="P37" s="26" t="s">
        <v>72</v>
      </c>
      <c r="Q37" s="26">
        <f>MIN(Q36:S36)</f>
        <v>0.4</v>
      </c>
      <c r="R37" s="26">
        <f>MEDIAN(Q36:S36)</f>
        <v>0.43301270189221935</v>
      </c>
      <c r="S37" s="26">
        <f>MAX(Q36:S36)</f>
        <v>0.47140452079103173</v>
      </c>
    </row>
    <row r="39" spans="16:34" ht="15.5" x14ac:dyDescent="0.35">
      <c r="P39" s="30" t="s">
        <v>115</v>
      </c>
      <c r="Q39" s="47" t="s">
        <v>69</v>
      </c>
      <c r="R39" s="47"/>
      <c r="S39" s="47"/>
      <c r="U39" s="7" t="s">
        <v>48</v>
      </c>
      <c r="V39" s="35" t="s">
        <v>73</v>
      </c>
      <c r="W39" s="35"/>
      <c r="X39" s="35"/>
      <c r="Y39" s="24" t="s">
        <v>74</v>
      </c>
      <c r="Z39" s="23" t="s">
        <v>75</v>
      </c>
      <c r="AA39" s="23" t="s">
        <v>76</v>
      </c>
      <c r="AC39" s="47" t="s">
        <v>77</v>
      </c>
      <c r="AD39" s="47"/>
      <c r="AE39" s="47"/>
      <c r="AF39" s="47"/>
      <c r="AG39" s="47"/>
      <c r="AH39" s="47"/>
    </row>
    <row r="40" spans="16:34" ht="15.5" customHeight="1" x14ac:dyDescent="0.35">
      <c r="P40" s="3" t="str">
        <f>H25</f>
        <v>Memperluas media sosial</v>
      </c>
      <c r="Q40" s="30">
        <f>GEOMEAN(I25,L25)</f>
        <v>1</v>
      </c>
      <c r="R40" s="30">
        <f t="shared" ref="R40:S40" si="37">GEOMEAN(J25,M25)</f>
        <v>1</v>
      </c>
      <c r="S40" s="30">
        <f t="shared" si="37"/>
        <v>1</v>
      </c>
      <c r="U40" s="7" t="str">
        <f>P40</f>
        <v>Memperluas media sosial</v>
      </c>
      <c r="V40" s="23">
        <f>Q40*$Q$44</f>
        <v>0.5</v>
      </c>
      <c r="W40" s="23">
        <f>R40*$R$44</f>
        <v>0.5</v>
      </c>
      <c r="X40" s="23">
        <f>S40*$S$44</f>
        <v>0.5</v>
      </c>
      <c r="Y40" s="23">
        <f>AVERAGE(V40:X40)</f>
        <v>0.5</v>
      </c>
      <c r="Z40" s="23">
        <f>Y40/$Y$42</f>
        <v>0.5</v>
      </c>
      <c r="AA40" s="28">
        <f>Z40</f>
        <v>0.5</v>
      </c>
      <c r="AC40" s="48" t="s">
        <v>119</v>
      </c>
      <c r="AD40" s="48"/>
      <c r="AE40" s="48"/>
      <c r="AF40" s="48"/>
      <c r="AG40" s="48"/>
      <c r="AH40" s="48"/>
    </row>
    <row r="41" spans="16:34" ht="15.5" x14ac:dyDescent="0.35">
      <c r="P41" s="3" t="str">
        <f>H26</f>
        <v>Pemasaran langsung</v>
      </c>
      <c r="Q41" s="30">
        <f>GEOMEAN(I26,L26)</f>
        <v>1</v>
      </c>
      <c r="R41" s="30">
        <f t="shared" ref="R41" si="38">GEOMEAN(J26,M26)</f>
        <v>1</v>
      </c>
      <c r="S41" s="30">
        <f t="shared" ref="S41" si="39">GEOMEAN(K26,N26)</f>
        <v>1</v>
      </c>
      <c r="U41" s="3" t="str">
        <f>P41</f>
        <v>Pemasaran langsung</v>
      </c>
      <c r="V41" s="23">
        <f>Q41*$Q$44</f>
        <v>0.5</v>
      </c>
      <c r="W41" s="23">
        <f>R41*$R$44</f>
        <v>0.5</v>
      </c>
      <c r="X41" s="23">
        <f>S41*$S$44</f>
        <v>0.5</v>
      </c>
      <c r="Y41" s="23">
        <f t="shared" ref="Y41" si="40">AVERAGE(V41:X41)</f>
        <v>0.5</v>
      </c>
      <c r="Z41" s="23">
        <f>Y41/$Y$42</f>
        <v>0.5</v>
      </c>
      <c r="AA41" s="28">
        <f t="shared" ref="AA41" si="41">Z41</f>
        <v>0.5</v>
      </c>
      <c r="AC41" s="48"/>
      <c r="AD41" s="48"/>
      <c r="AE41" s="48"/>
      <c r="AF41" s="48"/>
      <c r="AG41" s="48"/>
      <c r="AH41" s="48"/>
    </row>
    <row r="42" spans="16:34" ht="15.5" x14ac:dyDescent="0.35">
      <c r="P42" s="26" t="s">
        <v>70</v>
      </c>
      <c r="Q42" s="26">
        <f>SUM(Q40:Q41)</f>
        <v>2</v>
      </c>
      <c r="R42" s="26">
        <f t="shared" ref="R42" si="42">SUM(R40:R41)</f>
        <v>2</v>
      </c>
      <c r="S42" s="26">
        <f t="shared" ref="S42" si="43">SUM(S40:S41)</f>
        <v>2</v>
      </c>
      <c r="U42" s="26" t="s">
        <v>70</v>
      </c>
      <c r="V42" s="23"/>
      <c r="W42" s="23"/>
      <c r="X42" s="23"/>
      <c r="Y42" s="25">
        <f>SUM(Y40:Y41)</f>
        <v>1</v>
      </c>
      <c r="Z42" s="25">
        <f>SUM(Z40:Z41)</f>
        <v>1</v>
      </c>
      <c r="AA42" s="27">
        <f>SUM(AA40:AA41)</f>
        <v>1</v>
      </c>
      <c r="AC42" s="48"/>
      <c r="AD42" s="48"/>
      <c r="AE42" s="48"/>
      <c r="AF42" s="48"/>
      <c r="AG42" s="48"/>
      <c r="AH42" s="48"/>
    </row>
    <row r="43" spans="16:34" ht="15.5" x14ac:dyDescent="0.35">
      <c r="P43" s="26" t="s">
        <v>71</v>
      </c>
      <c r="Q43" s="26">
        <f>1/Q42</f>
        <v>0.5</v>
      </c>
      <c r="R43" s="26">
        <f t="shared" ref="R43:S43" si="44">1/R42</f>
        <v>0.5</v>
      </c>
      <c r="S43" s="26">
        <f t="shared" si="44"/>
        <v>0.5</v>
      </c>
    </row>
    <row r="44" spans="16:34" ht="15.5" x14ac:dyDescent="0.35">
      <c r="P44" s="26" t="s">
        <v>72</v>
      </c>
      <c r="Q44" s="26">
        <f>MIN(Q43:S43)</f>
        <v>0.5</v>
      </c>
      <c r="R44" s="26">
        <f>MEDIAN(Q43:S43)</f>
        <v>0.5</v>
      </c>
      <c r="S44" s="26">
        <f>MAX(Q43:S43)</f>
        <v>0.5</v>
      </c>
    </row>
    <row r="46" spans="16:34" ht="15.5" x14ac:dyDescent="0.35">
      <c r="P46" s="30" t="s">
        <v>115</v>
      </c>
      <c r="Q46" s="47" t="s">
        <v>69</v>
      </c>
      <c r="R46" s="47"/>
      <c r="S46" s="47"/>
      <c r="U46" s="7" t="s">
        <v>48</v>
      </c>
      <c r="V46" s="35" t="s">
        <v>73</v>
      </c>
      <c r="W46" s="35"/>
      <c r="X46" s="35"/>
      <c r="Y46" s="24" t="s">
        <v>74</v>
      </c>
      <c r="Z46" s="23" t="s">
        <v>75</v>
      </c>
      <c r="AA46" s="23" t="s">
        <v>76</v>
      </c>
      <c r="AC46" s="47" t="s">
        <v>77</v>
      </c>
      <c r="AD46" s="47"/>
      <c r="AE46" s="47"/>
      <c r="AF46" s="47"/>
      <c r="AG46" s="47"/>
      <c r="AH46" s="47"/>
    </row>
    <row r="47" spans="16:34" ht="15.5" customHeight="1" x14ac:dyDescent="0.35">
      <c r="P47" s="3" t="str">
        <f>H29</f>
        <v>Meningkatkan SDM</v>
      </c>
      <c r="Q47" s="30">
        <f>GEOMEAN(I29,L29)</f>
        <v>1</v>
      </c>
      <c r="R47" s="30">
        <f t="shared" ref="R47:S47" si="45">GEOMEAN(J29,M29)</f>
        <v>1</v>
      </c>
      <c r="S47" s="30">
        <f t="shared" si="45"/>
        <v>1</v>
      </c>
      <c r="U47" s="7" t="str">
        <f>P47</f>
        <v>Meningkatkan SDM</v>
      </c>
      <c r="V47" s="23">
        <f>Q47*$Q$51</f>
        <v>0.5</v>
      </c>
      <c r="W47" s="23">
        <f>R47*$R$51</f>
        <v>0.5</v>
      </c>
      <c r="X47" s="23">
        <f>S47*$S$51</f>
        <v>0.5</v>
      </c>
      <c r="Y47" s="23">
        <f>AVERAGE(V47:X47)</f>
        <v>0.5</v>
      </c>
      <c r="Z47" s="23">
        <f>Y47/$Y$49</f>
        <v>0.5</v>
      </c>
      <c r="AA47" s="28">
        <f>Z47</f>
        <v>0.5</v>
      </c>
      <c r="AC47" s="48" t="s">
        <v>119</v>
      </c>
      <c r="AD47" s="48"/>
      <c r="AE47" s="48"/>
      <c r="AF47" s="48"/>
      <c r="AG47" s="48"/>
      <c r="AH47" s="48"/>
    </row>
    <row r="48" spans="16:34" ht="15.5" x14ac:dyDescent="0.35">
      <c r="P48" s="3" t="str">
        <f>H30</f>
        <v>Mahir pada bidangnya</v>
      </c>
      <c r="Q48" s="30">
        <f>GEOMEAN(I30,L30)</f>
        <v>1</v>
      </c>
      <c r="R48" s="30">
        <f t="shared" ref="R48" si="46">GEOMEAN(J30,M30)</f>
        <v>1</v>
      </c>
      <c r="S48" s="30">
        <f t="shared" ref="S48" si="47">GEOMEAN(K30,N30)</f>
        <v>1</v>
      </c>
      <c r="U48" s="3" t="str">
        <f>P48</f>
        <v>Mahir pada bidangnya</v>
      </c>
      <c r="V48" s="23">
        <f>Q48*$Q$51</f>
        <v>0.5</v>
      </c>
      <c r="W48" s="23">
        <f>R48*$R$51</f>
        <v>0.5</v>
      </c>
      <c r="X48" s="23">
        <f>S48*$S$51</f>
        <v>0.5</v>
      </c>
      <c r="Y48" s="23">
        <f t="shared" ref="Y48" si="48">AVERAGE(V48:X48)</f>
        <v>0.5</v>
      </c>
      <c r="Z48" s="23">
        <f>Y48/$Y$49</f>
        <v>0.5</v>
      </c>
      <c r="AA48" s="28">
        <f t="shared" ref="AA48" si="49">Z48</f>
        <v>0.5</v>
      </c>
      <c r="AC48" s="48"/>
      <c r="AD48" s="48"/>
      <c r="AE48" s="48"/>
      <c r="AF48" s="48"/>
      <c r="AG48" s="48"/>
      <c r="AH48" s="48"/>
    </row>
    <row r="49" spans="16:34" ht="15.5" x14ac:dyDescent="0.35">
      <c r="P49" s="26" t="s">
        <v>70</v>
      </c>
      <c r="Q49" s="26">
        <f>SUM(Q47:Q48)</f>
        <v>2</v>
      </c>
      <c r="R49" s="26">
        <f t="shared" ref="R49" si="50">SUM(R47:R48)</f>
        <v>2</v>
      </c>
      <c r="S49" s="26">
        <f t="shared" ref="S49" si="51">SUM(S47:S48)</f>
        <v>2</v>
      </c>
      <c r="U49" s="26" t="s">
        <v>70</v>
      </c>
      <c r="V49" s="23"/>
      <c r="W49" s="23"/>
      <c r="X49" s="23"/>
      <c r="Y49" s="25">
        <f>SUM(Y47:Y48)</f>
        <v>1</v>
      </c>
      <c r="Z49" s="25">
        <f>SUM(Z47:Z48)</f>
        <v>1</v>
      </c>
      <c r="AA49" s="27">
        <f>SUM(AA47:AA48)</f>
        <v>1</v>
      </c>
      <c r="AC49" s="48"/>
      <c r="AD49" s="48"/>
      <c r="AE49" s="48"/>
      <c r="AF49" s="48"/>
      <c r="AG49" s="48"/>
      <c r="AH49" s="48"/>
    </row>
    <row r="50" spans="16:34" ht="15.5" x14ac:dyDescent="0.35">
      <c r="P50" s="26" t="s">
        <v>71</v>
      </c>
      <c r="Q50" s="26">
        <f>1/Q49</f>
        <v>0.5</v>
      </c>
      <c r="R50" s="26">
        <f t="shared" ref="R50:S50" si="52">1/R49</f>
        <v>0.5</v>
      </c>
      <c r="S50" s="26">
        <f t="shared" si="52"/>
        <v>0.5</v>
      </c>
    </row>
    <row r="51" spans="16:34" ht="15.5" x14ac:dyDescent="0.35">
      <c r="P51" s="26" t="s">
        <v>72</v>
      </c>
      <c r="Q51" s="26">
        <f>MIN(Q50:S50)</f>
        <v>0.5</v>
      </c>
      <c r="R51" s="26">
        <f>MEDIAN(Q50:S50)</f>
        <v>0.5</v>
      </c>
      <c r="S51" s="26">
        <f>MAX(Q50:S50)</f>
        <v>0.5</v>
      </c>
    </row>
  </sheetData>
  <mergeCells count="50">
    <mergeCell ref="A28:B28"/>
    <mergeCell ref="A3:B3"/>
    <mergeCell ref="A4:B4"/>
    <mergeCell ref="A20:B20"/>
    <mergeCell ref="A8:B8"/>
    <mergeCell ref="A24:B24"/>
    <mergeCell ref="A12:B12"/>
    <mergeCell ref="A16:B16"/>
    <mergeCell ref="I4:K4"/>
    <mergeCell ref="I8:K8"/>
    <mergeCell ref="I12:K12"/>
    <mergeCell ref="I16:K16"/>
    <mergeCell ref="I24:K24"/>
    <mergeCell ref="I28:K28"/>
    <mergeCell ref="L4:N4"/>
    <mergeCell ref="L8:N8"/>
    <mergeCell ref="L12:N12"/>
    <mergeCell ref="L16:N16"/>
    <mergeCell ref="L20:N20"/>
    <mergeCell ref="L24:N24"/>
    <mergeCell ref="L28:N28"/>
    <mergeCell ref="I20:K20"/>
    <mergeCell ref="Q4:S4"/>
    <mergeCell ref="V4:X4"/>
    <mergeCell ref="Q11:S11"/>
    <mergeCell ref="V11:X11"/>
    <mergeCell ref="Q18:S18"/>
    <mergeCell ref="V18:X18"/>
    <mergeCell ref="Q46:S46"/>
    <mergeCell ref="V46:X46"/>
    <mergeCell ref="AC5:AH7"/>
    <mergeCell ref="AC4:AH4"/>
    <mergeCell ref="AC11:AH11"/>
    <mergeCell ref="AC12:AH14"/>
    <mergeCell ref="AC25:AH25"/>
    <mergeCell ref="AC26:AH28"/>
    <mergeCell ref="AC39:AH39"/>
    <mergeCell ref="AC40:AH42"/>
    <mergeCell ref="Q25:S25"/>
    <mergeCell ref="V25:X25"/>
    <mergeCell ref="Q32:S32"/>
    <mergeCell ref="V32:X32"/>
    <mergeCell ref="Q39:S39"/>
    <mergeCell ref="V39:X39"/>
    <mergeCell ref="AC46:AH46"/>
    <mergeCell ref="AC47:AH49"/>
    <mergeCell ref="AC32:AH32"/>
    <mergeCell ref="AC33:AH35"/>
    <mergeCell ref="AC18:AH18"/>
    <mergeCell ref="AC19:A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TABEL PERBANDINGAN</vt:lpstr>
      <vt:lpstr>ISM</vt:lpstr>
      <vt:lpstr>FAHP Skenario</vt:lpstr>
      <vt:lpstr>Tujuan strategi</vt:lpstr>
      <vt:lpstr>Max volume</vt:lpstr>
      <vt:lpstr>Hadapi pesaing</vt:lpstr>
      <vt:lpstr>Pangsa Pasar</vt:lpstr>
      <vt:lpstr>Tingkatkan profit</vt:lpstr>
      <vt:lpstr>Kepuasan Pelanggan</vt:lpstr>
      <vt:lpstr>Sub aksi</vt:lpstr>
      <vt:lpstr>'FAHP Skenario'!_Hlk148602342</vt:lpstr>
      <vt:lpstr>'FAHP Skenario'!_Hlk148602387</vt:lpstr>
      <vt:lpstr>'FAHP Skenario'!_Hlk148602523</vt:lpstr>
      <vt:lpstr>'FAHP Skenario'!_Hlk148602577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Zaky Handseme</dc:creator>
  <cp:lastModifiedBy>Juli Yandi Rahman</cp:lastModifiedBy>
  <dcterms:created xsi:type="dcterms:W3CDTF">2023-10-18T07:43:15Z</dcterms:created>
  <dcterms:modified xsi:type="dcterms:W3CDTF">2023-11-30T05:47:13Z</dcterms:modified>
</cp:coreProperties>
</file>